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<sst xmlns="http://schemas.openxmlformats.org/spreadsheetml/2006/main" count="302" uniqueCount="257">
  <si>
    <t xml:space="preserve">Reference</t>
  </si>
  <si>
    <t xml:space="preserve">Qty</t>
  </si>
  <si>
    <t xml:space="preserve">Value</t>
  </si>
  <si>
    <t xml:space="preserve">Footprint</t>
  </si>
  <si>
    <t xml:space="preserve">Description</t>
  </si>
  <si>
    <t xml:space="preserve">LCSC Part Number</t>
  </si>
  <si>
    <t xml:space="preserve">MPN</t>
  </si>
  <si>
    <t xml:space="preserve">Link</t>
  </si>
  <si>
    <t xml:space="preserve">Price per single unit</t>
  </si>
  <si>
    <t xml:space="preserve">Price per Qty</t>
  </si>
  <si>
    <t xml:space="preserve">C2,C10,C18</t>
  </si>
  <si>
    <t xml:space="preserve">1n</t>
  </si>
  <si>
    <t xml:space="preserve">Capacitor_SMD:C_0603_1608Metric</t>
  </si>
  <si>
    <t xml:space="preserve">Unpolarized capacitor, small symbol</t>
  </si>
  <si>
    <t xml:space="preserve">C163508</t>
  </si>
  <si>
    <t xml:space="preserve">C0603C102J3GACAUTO</t>
  </si>
  <si>
    <t xml:space="preserve">C4,C7</t>
  </si>
  <si>
    <t xml:space="preserve">10u</t>
  </si>
  <si>
    <t xml:space="preserve">Capacitor_SMD:C_1206_3216Metric</t>
  </si>
  <si>
    <t xml:space="preserve">C105175</t>
  </si>
  <si>
    <t xml:space="preserve">MSASU31LBB5106KTNA01</t>
  </si>
  <si>
    <t xml:space="preserve">C5</t>
  </si>
  <si>
    <t xml:space="preserve">220u</t>
  </si>
  <si>
    <t xml:space="preserve">Capacitor_SMD:CP_Elec_8x10.5</t>
  </si>
  <si>
    <t xml:space="preserve">Polarized capacitor</t>
  </si>
  <si>
    <t xml:space="preserve">C278406</t>
  </si>
  <si>
    <t xml:space="preserve">EEEFP1V221AP</t>
  </si>
  <si>
    <t xml:space="preserve">C6,C12,C14,C16,C17,C20,C25,C26,C27,C28</t>
  </si>
  <si>
    <t xml:space="preserve">100n</t>
  </si>
  <si>
    <t xml:space="preserve">C346190</t>
  </si>
  <si>
    <t xml:space="preserve">CL10B104KA8WPNC</t>
  </si>
  <si>
    <t xml:space="preserve">C8,C9,C11,C21,C22,C23,C24</t>
  </si>
  <si>
    <t xml:space="preserve">1u</t>
  </si>
  <si>
    <t xml:space="preserve">C85862</t>
  </si>
  <si>
    <t xml:space="preserve">GCM188R71E105KA64D</t>
  </si>
  <si>
    <t xml:space="preserve">C13,C15</t>
  </si>
  <si>
    <t xml:space="preserve">22u</t>
  </si>
  <si>
    <t xml:space="preserve">C2762594</t>
  </si>
  <si>
    <t xml:space="preserve">CL10A226MO7JZNC</t>
  </si>
  <si>
    <t xml:space="preserve">C19</t>
  </si>
  <si>
    <t xml:space="preserve">4.7u 10V</t>
  </si>
  <si>
    <t xml:space="preserve">Capacitor_Tantalum_SMD:CP_EIA-3216-18_Kemet-A</t>
  </si>
  <si>
    <t xml:space="preserve">Polarized capacitor, small symbol</t>
  </si>
  <si>
    <t xml:space="preserve">C7187</t>
  </si>
  <si>
    <t xml:space="preserve">TAJA475K016RNJ</t>
  </si>
  <si>
    <t xml:space="preserve">D1,D2</t>
  </si>
  <si>
    <t xml:space="preserve">BAV199.215</t>
  </si>
  <si>
    <t xml:space="preserve">Package_TO_SOT_SMD:SOT-23</t>
  </si>
  <si>
    <t xml:space="preserve">BAV99 High-speed switching diodes, SOT-23</t>
  </si>
  <si>
    <t xml:space="preserve">C40919</t>
  </si>
  <si>
    <t xml:space="preserve">D3</t>
  </si>
  <si>
    <t xml:space="preserve">ESDA6V1SC5</t>
  </si>
  <si>
    <t xml:space="preserve">Package_TO_SOT_SMD:SOT-23-5</t>
  </si>
  <si>
    <t xml:space="preserve">Quad TVS Diode Array, 6.1V Standoff, 4 Channels, 400W, ±30kV, SOT-23-5</t>
  </si>
  <si>
    <t xml:space="preserve">C2935146</t>
  </si>
  <si>
    <t xml:space="preserve">D4,D5</t>
  </si>
  <si>
    <t xml:space="preserve">SMAJ24CA</t>
  </si>
  <si>
    <t xml:space="preserve">Diode_SMD:D_SMA</t>
  </si>
  <si>
    <t xml:space="preserve">C148223</t>
  </si>
  <si>
    <t xml:space="preserve">D6</t>
  </si>
  <si>
    <t xml:space="preserve">PMEG6010CEH.115</t>
  </si>
  <si>
    <t xml:space="preserve">Diode_SMD:D_SOD-123F</t>
  </si>
  <si>
    <t xml:space="preserve">Schottky diode, small symbol</t>
  </si>
  <si>
    <t xml:space="preserve">C53113897</t>
  </si>
  <si>
    <t xml:space="preserve">PMEG6010CEH.115-JSM</t>
  </si>
  <si>
    <t xml:space="preserve">D7,D8</t>
  </si>
  <si>
    <t xml:space="preserve">BAT54SW</t>
  </si>
  <si>
    <t xml:space="preserve">Package_TO_SOT_SMD:SOT-323_SC-70</t>
  </si>
  <si>
    <t xml:space="preserve">Vr 30V, If 200mA, Dual schottky barrier diode, in series, SOT-323</t>
  </si>
  <si>
    <t xml:space="preserve">C78606</t>
  </si>
  <si>
    <t xml:space="preserve">BAT54SW.115</t>
  </si>
  <si>
    <t xml:space="preserve">D9</t>
  </si>
  <si>
    <t xml:space="preserve">BZV55-B12.115</t>
  </si>
  <si>
    <t xml:space="preserve">Diode_SMD:D_MiniMELF</t>
  </si>
  <si>
    <t xml:space="preserve">Zener diode, small symbol</t>
  </si>
  <si>
    <t xml:space="preserve">C426807</t>
  </si>
  <si>
    <t xml:space="preserve">D10,D11</t>
  </si>
  <si>
    <t xml:space="preserve">1N4148WSF-7</t>
  </si>
  <si>
    <t xml:space="preserve">Diode_SMD:D_SOD-323_HandSoldering</t>
  </si>
  <si>
    <t xml:space="preserve">C119617</t>
  </si>
  <si>
    <t xml:space="preserve">D12</t>
  </si>
  <si>
    <t xml:space="preserve">WS2812B-2020</t>
  </si>
  <si>
    <t xml:space="preserve">Footprints:RGB_LED_WS2812B-2020_2.0x2.0mm</t>
  </si>
  <si>
    <t xml:space="preserve">C52917434</t>
  </si>
  <si>
    <t xml:space="preserve">WS2812B-2020-V6</t>
  </si>
  <si>
    <t xml:space="preserve">F1</t>
  </si>
  <si>
    <t xml:space="preserve">7A</t>
  </si>
  <si>
    <t xml:space="preserve">Footprints:0154100DR</t>
  </si>
  <si>
    <t xml:space="preserve">Fuse</t>
  </si>
  <si>
    <t xml:space="preserve">C206918</t>
  </si>
  <si>
    <t xml:space="preserve">0154007.DR</t>
  </si>
  <si>
    <t xml:space="preserve">FB1</t>
  </si>
  <si>
    <t xml:space="preserve">BLM18AG331SN1D</t>
  </si>
  <si>
    <t xml:space="preserve">Inductor_SMD:L_0603_1608Metric</t>
  </si>
  <si>
    <t xml:space="preserve">Ferrite bead, small symbol</t>
  </si>
  <si>
    <t xml:space="preserve">C113010</t>
  </si>
  <si>
    <t xml:space="preserve">J2</t>
  </si>
  <si>
    <t xml:space="preserve">USB4105-GF-A-060</t>
  </si>
  <si>
    <t xml:space="preserve">Connector_USB:USB_C_Receptacle_GCT_USB4105-xx-A_16P_TopMnt_Horizontal</t>
  </si>
  <si>
    <t xml:space="preserve">USB 2.0-only 16P Type-C Receptacle connector</t>
  </si>
  <si>
    <t xml:space="preserve">C3025063</t>
  </si>
  <si>
    <t xml:space="preserve">J3,J4</t>
  </si>
  <si>
    <t xml:space="preserve">Conn_01x01_Pin</t>
  </si>
  <si>
    <t xml:space="preserve">Connector_PinHeader_2.54mm:PinHeader_1x01_P2.54mm_Vertical</t>
  </si>
  <si>
    <t xml:space="preserve">Generic connector, single row, 01x01, script generated</t>
  </si>
  <si>
    <t xml:space="preserve">C7501259</t>
  </si>
  <si>
    <t xml:space="preserve">ZX-PZ2.54-1-1PZZ</t>
  </si>
  <si>
    <t xml:space="preserve">J5</t>
  </si>
  <si>
    <t xml:space="preserve">Conn_01x05_Socket</t>
  </si>
  <si>
    <t xml:space="preserve">Connector_PinSocket_2.54mm:PinSocket_1x05_P2.54mm_Vertical</t>
  </si>
  <si>
    <t xml:space="preserve">Generic connector, single row, 01x05, script generated</t>
  </si>
  <si>
    <t xml:space="preserve">C7171947</t>
  </si>
  <si>
    <t xml:space="preserve">215298-5</t>
  </si>
  <si>
    <t xml:space="preserve">L1</t>
  </si>
  <si>
    <t xml:space="preserve">47uH</t>
  </si>
  <si>
    <t xml:space="preserve">Inductor_SMD:L_APV_APH0630</t>
  </si>
  <si>
    <t xml:space="preserve">Inductor</t>
  </si>
  <si>
    <t xml:space="preserve">C706600</t>
  </si>
  <si>
    <t xml:space="preserve">SMMS0630-470MT</t>
  </si>
  <si>
    <t xml:space="preserve">Q2,Q4</t>
  </si>
  <si>
    <t xml:space="preserve">AOSP21321</t>
  </si>
  <si>
    <t xml:space="preserve">Package_SO:SOIC-8_3.9x4.9mm_P1.27mm</t>
  </si>
  <si>
    <t xml:space="preserve">-6.7A Id, -20V Vds, P-Channel HEXFET Power MOSFET, SO-8</t>
  </si>
  <si>
    <t xml:space="preserve">C560863</t>
  </si>
  <si>
    <t xml:space="preserve">Q3,Q5</t>
  </si>
  <si>
    <t xml:space="preserve">BSR14</t>
  </si>
  <si>
    <t xml:space="preserve">TRANS NPN 40V 800mA SOT-23</t>
  </si>
  <si>
    <t xml:space="preserve">C258201</t>
  </si>
  <si>
    <t xml:space="preserve">R1,R2,R9,R10,R19,R31,R34</t>
  </si>
  <si>
    <t xml:space="preserve">1.5k</t>
  </si>
  <si>
    <t xml:space="preserve">Resistor_SMD:R_0603_1608Metric</t>
  </si>
  <si>
    <t xml:space="preserve">Resistor, small symbol</t>
  </si>
  <si>
    <t xml:space="preserve">C2930050</t>
  </si>
  <si>
    <t xml:space="preserve">FRC0603F1501TS</t>
  </si>
  <si>
    <t xml:space="preserve">R4</t>
  </si>
  <si>
    <t xml:space="preserve">1M</t>
  </si>
  <si>
    <t xml:space="preserve">C2907003</t>
  </si>
  <si>
    <t xml:space="preserve">FRC0603F1004TS</t>
  </si>
  <si>
    <t xml:space="preserve">R5,R6</t>
  </si>
  <si>
    <t xml:space="preserve">390k</t>
  </si>
  <si>
    <t xml:space="preserve">C2907158</t>
  </si>
  <si>
    <t xml:space="preserve">FRC0603J394 TS</t>
  </si>
  <si>
    <t xml:space="preserve">R7,R16</t>
  </si>
  <si>
    <t xml:space="preserve">10R</t>
  </si>
  <si>
    <t xml:space="preserve">C2907091</t>
  </si>
  <si>
    <t xml:space="preserve">FRC0603J100 TS</t>
  </si>
  <si>
    <t xml:space="preserve">R8,R28,R30</t>
  </si>
  <si>
    <t xml:space="preserve">10k</t>
  </si>
  <si>
    <t xml:space="preserve">C4134045</t>
  </si>
  <si>
    <t xml:space="preserve">RCS060310K0JNEA</t>
  </si>
  <si>
    <t xml:space="preserve">R17,R20,R35</t>
  </si>
  <si>
    <t xml:space="preserve">20k</t>
  </si>
  <si>
    <t xml:space="preserve">C2907011</t>
  </si>
  <si>
    <t xml:space="preserve">FRC0603F2002TS</t>
  </si>
  <si>
    <t xml:space="preserve">R11</t>
  </si>
  <si>
    <t xml:space="preserve">RMF2512FTR005</t>
  </si>
  <si>
    <t xml:space="preserve">Resistor_SMD:R_2512_6332Metric</t>
  </si>
  <si>
    <t xml:space="preserve">C48533600</t>
  </si>
  <si>
    <t xml:space="preserve">FRM253WJR005TM</t>
  </si>
  <si>
    <t xml:space="preserve">R12,R13,R24,R26,R29,R32,R37,R38,R39</t>
  </si>
  <si>
    <t xml:space="preserve">5k1</t>
  </si>
  <si>
    <t xml:space="preserve">C2907044</t>
  </si>
  <si>
    <t xml:space="preserve">FRC0603F5101TS</t>
  </si>
  <si>
    <t xml:space="preserve">R14,R15</t>
  </si>
  <si>
    <t xml:space="preserve">240k</t>
  </si>
  <si>
    <t xml:space="preserve">C2930036</t>
  </si>
  <si>
    <t xml:space="preserve">FRC0603J244TS</t>
  </si>
  <si>
    <t xml:space="preserve">R18,R23,R25</t>
  </si>
  <si>
    <t xml:space="preserve">100R</t>
  </si>
  <si>
    <t xml:space="preserve">C2076611</t>
  </si>
  <si>
    <t xml:space="preserve">CRCW0603100RJNEAC</t>
  </si>
  <si>
    <t xml:space="preserve">R20,R22,R27</t>
  </si>
  <si>
    <t xml:space="preserve">130k</t>
  </si>
  <si>
    <t xml:space="preserve">C2907099</t>
  </si>
  <si>
    <t xml:space="preserve">FRC0603J134 TS</t>
  </si>
  <si>
    <t xml:space="preserve">R21</t>
  </si>
  <si>
    <t xml:space="preserve">27k</t>
  </si>
  <si>
    <t xml:space="preserve">C2930084</t>
  </si>
  <si>
    <t xml:space="preserve">FRC0603F2702TS</t>
  </si>
  <si>
    <t xml:space="preserve">SW1,SW2</t>
  </si>
  <si>
    <t xml:space="preserve">SW_Omron_B3FS</t>
  </si>
  <si>
    <t xml:space="preserve">Button_Switch_SMD:SW_SPST_Omron_B3FS-100xP</t>
  </si>
  <si>
    <t xml:space="preserve">Omron B3FS 6x6mm single pole normally-open tactile switch</t>
  </si>
  <si>
    <t xml:space="preserve">C5594007</t>
  </si>
  <si>
    <t xml:space="preserve">B3FS-1050</t>
  </si>
  <si>
    <t xml:space="preserve">U1</t>
  </si>
  <si>
    <t xml:space="preserve">AD8629ARZ</t>
  </si>
  <si>
    <t xml:space="preserve">Dual Precision, Very Low Noise, Low Input Bias Current, Wide Bandwidth JFET Operational Amplifiers, SOIC-8</t>
  </si>
  <si>
    <t xml:space="preserve">C23487</t>
  </si>
  <si>
    <t xml:space="preserve">AD8629ARZ-REEL7</t>
  </si>
  <si>
    <t xml:space="preserve">U3</t>
  </si>
  <si>
    <t xml:space="preserve">AP63300WU-7</t>
  </si>
  <si>
    <t xml:space="preserve">Package_TO_SOT_SMD:TSOT-23-6</t>
  </si>
  <si>
    <t xml:space="preserve">2A, 500kHz Buck DC/DC Converter, adjustable output voltage, TSOT-23-6</t>
  </si>
  <si>
    <t xml:space="preserve">C2158012</t>
  </si>
  <si>
    <t xml:space="preserve">U4</t>
  </si>
  <si>
    <t xml:space="preserve">STUSB4500QTR</t>
  </si>
  <si>
    <t xml:space="preserve">Footprints:QFN-24-1EP_4x4mm_P0.5mm_EP2.65x2.65mm</t>
  </si>
  <si>
    <t xml:space="preserve">Stand-alone USB PD controller (with sink Auto-run mode), QFN-24</t>
  </si>
  <si>
    <t xml:space="preserve">C2678061</t>
  </si>
  <si>
    <t xml:space="preserve">U5</t>
  </si>
  <si>
    <t xml:space="preserve">MIC5219-3.3YM5</t>
  </si>
  <si>
    <t xml:space="preserve">500mA low dropout linear regulator, fixed 3.3V output, SOT-23-5</t>
  </si>
  <si>
    <t xml:space="preserve">C29613</t>
  </si>
  <si>
    <t xml:space="preserve">MIC5219-3.3YM5-TR</t>
  </si>
  <si>
    <t xml:space="preserve">U6</t>
  </si>
  <si>
    <t xml:space="preserve">OLED0.91_128x32_I2C</t>
  </si>
  <si>
    <t xml:space="preserve">Footprints:OLED_128x32_0.91</t>
  </si>
  <si>
    <t xml:space="preserve">0.91 128x32 SSD1306 chip I2C LCD, OLED, Graphic RoHS</t>
  </si>
  <si>
    <t xml:space="preserve">C5248081</t>
  </si>
  <si>
    <t xml:space="preserve">HS91L02W2C01</t>
  </si>
  <si>
    <t xml:space="preserve">U7</t>
  </si>
  <si>
    <t xml:space="preserve">STM32F103C8T6</t>
  </si>
  <si>
    <t xml:space="preserve">Package_QFP:LQFP-48_7x7mm_P0.5mm</t>
  </si>
  <si>
    <t xml:space="preserve">STMicroelectronics Arm Cortex-M3 MCU, 64KB flash, 20KB RAM, 72 MHz, 2.0-3.6V, 37 GPIO, LQFP48</t>
  </si>
  <si>
    <t xml:space="preserve">C8734</t>
  </si>
  <si>
    <t xml:space="preserve">U8</t>
  </si>
  <si>
    <t xml:space="preserve">MCP9700AT-ETT</t>
  </si>
  <si>
    <t xml:space="preserve">Low power, analog thermistor temperature sensor, ±2C accuracy, -40C to +125C, in SOT-23-3</t>
  </si>
  <si>
    <t xml:space="preserve">C127949</t>
  </si>
  <si>
    <t xml:space="preserve">MCP9700AT-E/TT</t>
  </si>
  <si>
    <t xml:space="preserve">Total for PCB components</t>
  </si>
  <si>
    <t xml:space="preserve">PCB</t>
  </si>
  <si>
    <t xml:space="preserve">Stencil</t>
  </si>
  <si>
    <t xml:space="preserve">Total for PCB fabrication</t>
  </si>
  <si>
    <t xml:space="preserve">XT60E-M connector</t>
  </si>
  <si>
    <t xml:space="preserve">C3040679</t>
  </si>
  <si>
    <t xml:space="preserve">XT60E-M.G.Y</t>
  </si>
  <si>
    <t xml:space="preserve">Screw terminal (2 pin)</t>
  </si>
  <si>
    <t xml:space="preserve">DEGSON DG350-3.5-02P-14-00A(H)</t>
  </si>
  <si>
    <t xml:space="preserve">C2760668</t>
  </si>
  <si>
    <t xml:space="preserve">Screw terminal (3 pin)</t>
  </si>
  <si>
    <t xml:space="preserve">DEGSON DG350-3.5-03P-14-00A(H)</t>
  </si>
  <si>
    <t xml:space="preserve">C2760669</t>
  </si>
  <si>
    <t xml:space="preserve">Handle connector pins</t>
  </si>
  <si>
    <t xml:space="preserve">C17283940</t>
  </si>
  <si>
    <t xml:space="preserve">1460-9-00-80-00-00-03-0</t>
  </si>
  <si>
    <t xml:space="preserve">Screws M2.5x6</t>
  </si>
  <si>
    <t xml:space="preserve">For sequring PCB and XT60 connector</t>
  </si>
  <si>
    <t xml:space="preserve">Screws M2.5x10</t>
  </si>
  <si>
    <t xml:space="preserve">For sequring enclosure lid and standby sense plate</t>
  </si>
  <si>
    <t xml:space="preserve">Nuts M2.5</t>
  </si>
  <si>
    <t xml:space="preserve">For sequring standby sense plate</t>
  </si>
  <si>
    <t xml:space="preserve">PCB standoffs L=16</t>
  </si>
  <si>
    <t xml:space="preserve">For sequring PCB and enclosure lid</t>
  </si>
  <si>
    <t xml:space="preserve">Threaded inserts for plastic M2.5</t>
  </si>
  <si>
    <t xml:space="preserve">Ring terminal M2.5</t>
  </si>
  <si>
    <t xml:space="preserve">For connecting standby sense wire to sense plate</t>
  </si>
  <si>
    <t xml:space="preserve">Button cups</t>
  </si>
  <si>
    <t xml:space="preserve">B32-1060</t>
  </si>
  <si>
    <t xml:space="preserve">C2733560</t>
  </si>
  <si>
    <t xml:space="preserve">Enclosure 3D print</t>
  </si>
  <si>
    <t xml:space="preserve">Total for others</t>
  </si>
  <si>
    <t xml:space="preserve">T245 handle</t>
  </si>
  <si>
    <t xml:space="preserve">C245 tip</t>
  </si>
  <si>
    <t xml:space="preserve">Total for handle+tip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</si>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</sst>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0"/>
    <numFmt numFmtId="166" formatCode="#,##0.00;\(#,##0.00\)"/>
    <numFmt numFmtId="167" formatCode="\$#,##0.00"/>
  </numFmts>
  <fonts count="7">
    <font>
      <sz val="10"/>
      <color rgb="FF000000"/>
      <name val="Roboto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Roboto"/>
      <family val="0"/>
      <charset val="1"/>
    </font>
    <font>
      <sz val="11"/>
      <color theme="1"/>
      <name val="Roboto"/>
      <family val="0"/>
      <charset val="1"/>
    </font>
    <font>
      <u val="singl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 pitchFamily="0" charset="1"/>
        <a:ea typeface="Roboto" pitchFamily="0" charset="1"/>
        <a:cs typeface="Roboto" pitchFamily="0" charset="1"/>
      </a:majorFont>
      <a:minorFont>
        <a:latin typeface="Roboto" pitchFamily="0" charset="1"/>
        <a:ea typeface="Roboto" pitchFamily="0" charset="1"/>
        <a:cs typeface="Robo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19" activeCellId="0" sqref="A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6.63"/>
    <col collapsed="false" customWidth="true" hidden="false" outlineLevel="0" max="3" min="3" style="0" width="15.88"/>
    <col collapsed="false" customWidth="true" hidden="false" outlineLevel="0" max="4" min="4" style="0" width="17.63"/>
    <col collapsed="false" customWidth="true" hidden="false" outlineLevel="0" max="6" min="6" style="0" width="15.38"/>
    <col collapsed="false" customWidth="true" hidden="false" outlineLevel="0" max="7" min="7" style="0" width="22.25"/>
    <col collapsed="false" customWidth="true" hidden="false" outlineLevel="0" max="8" min="8" style="0" width="16.25"/>
    <col collapsed="false" customWidth="true" hidden="false" outlineLevel="0" max="9" min="9" style="0" width="21.53"/>
    <col collapsed="false" customWidth="true" hidden="false" outlineLevel="0" max="10" min="10" style="0" width="16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15.75" hidden="false" customHeight="false" outlineLevel="0" collapsed="false">
      <c r="A2" s="3" t="s">
        <v>10</v>
      </c>
      <c r="B2" s="3" t="n">
        <v>3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tr">
        <f aca="false">HYPERLINK("https://www.lcsc.com/product-detail/" &amp; F2 &amp; ".html", F2)</f>
        <v>C163508</v>
      </c>
      <c r="I2" s="5" t="n">
        <v>0.0127</v>
      </c>
      <c r="J2" s="5" t="n">
        <f aca="false">B2*I2</f>
        <v>0.0381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false" outlineLevel="0" collapsed="false">
      <c r="A3" s="3" t="s">
        <v>16</v>
      </c>
      <c r="B3" s="3" t="n">
        <v>2</v>
      </c>
      <c r="C3" s="3" t="s">
        <v>17</v>
      </c>
      <c r="D3" s="3" t="s">
        <v>18</v>
      </c>
      <c r="E3" s="3" t="s">
        <v>13</v>
      </c>
      <c r="F3" s="3" t="s">
        <v>19</v>
      </c>
      <c r="G3" s="3" t="s">
        <v>20</v>
      </c>
      <c r="H3" s="4" t="str">
        <f aca="false">HYPERLINK("https://www.lcsc.com/product-detail/" &amp; F3 &amp; ".html", F3)</f>
        <v>C105175</v>
      </c>
      <c r="I3" s="5" t="n">
        <v>0.4207</v>
      </c>
      <c r="J3" s="5" t="n">
        <f aca="false">B3*I3</f>
        <v>0.8414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.75" hidden="false" customHeight="false" outlineLevel="0" collapsed="false">
      <c r="A4" s="3" t="s">
        <v>21</v>
      </c>
      <c r="B4" s="3" t="n">
        <v>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4" t="str">
        <f aca="false">HYPERLINK("https://www.lcsc.com/product-detail/" &amp; F4 &amp; ".html", F4)</f>
        <v>C278406</v>
      </c>
      <c r="I4" s="5" t="n">
        <v>0.4923</v>
      </c>
      <c r="J4" s="5" t="n">
        <f aca="false">B4*I4</f>
        <v>0.4923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5.75" hidden="false" customHeight="false" outlineLevel="0" collapsed="false">
      <c r="A5" s="6" t="s">
        <v>27</v>
      </c>
      <c r="B5" s="3" t="n">
        <v>10</v>
      </c>
      <c r="C5" s="3" t="s">
        <v>28</v>
      </c>
      <c r="D5" s="3" t="s">
        <v>12</v>
      </c>
      <c r="E5" s="3" t="s">
        <v>13</v>
      </c>
      <c r="F5" s="3" t="s">
        <v>29</v>
      </c>
      <c r="G5" s="3" t="s">
        <v>30</v>
      </c>
      <c r="H5" s="4" t="str">
        <f aca="false">HYPERLINK("https://www.lcsc.com/product-detail/" &amp; F5 &amp; ".html", F5)</f>
        <v>C346190</v>
      </c>
      <c r="I5" s="5" t="n">
        <v>0.0278</v>
      </c>
      <c r="J5" s="5" t="n">
        <f aca="false">B5*I5</f>
        <v>0.278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.75" hidden="false" customHeight="false" outlineLevel="0" collapsed="false">
      <c r="A6" s="3" t="s">
        <v>31</v>
      </c>
      <c r="B6" s="3" t="n">
        <v>7</v>
      </c>
      <c r="C6" s="3" t="s">
        <v>32</v>
      </c>
      <c r="D6" s="3" t="s">
        <v>12</v>
      </c>
      <c r="E6" s="3" t="s">
        <v>13</v>
      </c>
      <c r="F6" s="3" t="s">
        <v>33</v>
      </c>
      <c r="G6" s="3" t="s">
        <v>34</v>
      </c>
      <c r="H6" s="4" t="str">
        <f aca="false">HYPERLINK("https://www.lcsc.com/product-detail/" &amp; F6 &amp; ".html", F6)</f>
        <v>C85862</v>
      </c>
      <c r="I6" s="5" t="n">
        <v>0.0893</v>
      </c>
      <c r="J6" s="5" t="n">
        <f aca="false">B6*I6</f>
        <v>0.6251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.75" hidden="false" customHeight="false" outlineLevel="0" collapsed="false">
      <c r="A7" s="3" t="s">
        <v>35</v>
      </c>
      <c r="B7" s="3" t="n">
        <v>2</v>
      </c>
      <c r="C7" s="3" t="s">
        <v>36</v>
      </c>
      <c r="D7" s="3" t="s">
        <v>12</v>
      </c>
      <c r="E7" s="3" t="s">
        <v>13</v>
      </c>
      <c r="F7" s="3" t="s">
        <v>37</v>
      </c>
      <c r="G7" s="3" t="s">
        <v>38</v>
      </c>
      <c r="H7" s="4" t="str">
        <f aca="false">HYPERLINK("https://www.lcsc.com/product-detail/" &amp; F7 &amp; ".html", F7)</f>
        <v>C2762594</v>
      </c>
      <c r="I7" s="5" t="n">
        <v>0.1292</v>
      </c>
      <c r="J7" s="5" t="n">
        <f aca="false">B7*I7</f>
        <v>0.2584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.75" hidden="false" customHeight="false" outlineLevel="0" collapsed="false">
      <c r="A8" s="3" t="s">
        <v>39</v>
      </c>
      <c r="B8" s="3" t="n">
        <v>1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4" t="str">
        <f aca="false">HYPERLINK("https://www.lcsc.com/product-detail/" &amp; F8 &amp; ".html", F8)</f>
        <v>C7187</v>
      </c>
      <c r="I8" s="5" t="n">
        <v>0.2206</v>
      </c>
      <c r="J8" s="5" t="n">
        <f aca="false">B8*I8</f>
        <v>0.2206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.75" hidden="false" customHeight="false" outlineLevel="0" collapsed="false">
      <c r="A9" s="3" t="s">
        <v>45</v>
      </c>
      <c r="B9" s="3" t="n">
        <v>2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46</v>
      </c>
      <c r="H9" s="4" t="str">
        <f aca="false">HYPERLINK("https://www.lcsc.com/product-detail/" &amp; F9 &amp; ".html", F9)</f>
        <v>C40919</v>
      </c>
      <c r="I9" s="5" t="n">
        <v>0.066</v>
      </c>
      <c r="J9" s="5" t="n">
        <f aca="false">B9*I9</f>
        <v>0.132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.75" hidden="false" customHeight="false" outlineLevel="0" collapsed="false">
      <c r="A10" s="3" t="s">
        <v>50</v>
      </c>
      <c r="B10" s="3" t="n">
        <v>1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51</v>
      </c>
      <c r="H10" s="4" t="str">
        <f aca="false">HYPERLINK("https://www.lcsc.com/product-detail/" &amp; F10 &amp; ".html", F10)</f>
        <v>C2935146</v>
      </c>
      <c r="I10" s="5" t="n">
        <v>0.289</v>
      </c>
      <c r="J10" s="5" t="n">
        <f aca="false">B10*I10</f>
        <v>0.289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.75" hidden="false" customHeight="false" outlineLevel="0" collapsed="false">
      <c r="A11" s="3" t="s">
        <v>55</v>
      </c>
      <c r="B11" s="3" t="n">
        <v>2</v>
      </c>
      <c r="C11" s="3" t="s">
        <v>56</v>
      </c>
      <c r="D11" s="3" t="s">
        <v>57</v>
      </c>
      <c r="E11" s="3"/>
      <c r="F11" s="3" t="s">
        <v>58</v>
      </c>
      <c r="G11" s="3" t="s">
        <v>56</v>
      </c>
      <c r="H11" s="4" t="str">
        <f aca="false">HYPERLINK("https://www.lcsc.com/product-detail/" &amp; F11 &amp; ".html", F11)</f>
        <v>C148223</v>
      </c>
      <c r="I11" s="5" t="n">
        <v>0.1069</v>
      </c>
      <c r="J11" s="5" t="n">
        <f aca="false">B11*I11</f>
        <v>0.2138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.75" hidden="false" customHeight="false" outlineLevel="0" collapsed="false">
      <c r="A12" s="3" t="s">
        <v>59</v>
      </c>
      <c r="B12" s="3" t="n">
        <v>1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4" t="str">
        <f aca="false">HYPERLINK("https://www.lcsc.com/product-detail/" &amp; F12 &amp; ".html", F12)</f>
        <v>C53113897</v>
      </c>
      <c r="I12" s="5" t="n">
        <v>0.0469</v>
      </c>
      <c r="J12" s="5" t="n">
        <f aca="false">B12*I12</f>
        <v>0.0469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.75" hidden="false" customHeight="false" outlineLevel="0" collapsed="false">
      <c r="A13" s="3" t="s">
        <v>65</v>
      </c>
      <c r="B13" s="3" t="n">
        <v>2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4" t="str">
        <f aca="false">HYPERLINK("https://www.lcsc.com/product-detail/" &amp; F13 &amp; ".html", F13)</f>
        <v>C78606</v>
      </c>
      <c r="I13" s="5" t="n">
        <v>0.0535</v>
      </c>
      <c r="J13" s="5" t="n">
        <f aca="false">B13*I13</f>
        <v>0.107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.75" hidden="false" customHeight="false" outlineLevel="0" collapsed="false">
      <c r="A14" s="3" t="s">
        <v>71</v>
      </c>
      <c r="B14" s="3" t="n">
        <v>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72</v>
      </c>
      <c r="H14" s="4" t="str">
        <f aca="false">HYPERLINK("https://www.lcsc.com/product-detail/" &amp; F14 &amp; ".html", F14)</f>
        <v>C426807</v>
      </c>
      <c r="I14" s="5" t="n">
        <v>0.0979</v>
      </c>
      <c r="J14" s="5" t="n">
        <f aca="false">B14*I14</f>
        <v>0.0979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.75" hidden="false" customHeight="false" outlineLevel="0" collapsed="false">
      <c r="A15" s="6" t="s">
        <v>76</v>
      </c>
      <c r="B15" s="3" t="n">
        <v>2</v>
      </c>
      <c r="C15" s="6" t="s">
        <v>77</v>
      </c>
      <c r="D15" s="6" t="s">
        <v>78</v>
      </c>
      <c r="E15" s="3"/>
      <c r="F15" s="6" t="s">
        <v>79</v>
      </c>
      <c r="G15" s="6" t="s">
        <v>77</v>
      </c>
      <c r="H15" s="4" t="str">
        <f aca="false">HYPERLINK("https://www.lcsc.com/product-detail/" &amp; F15 &amp; ".html", F15)</f>
        <v>C119617</v>
      </c>
      <c r="I15" s="5" t="n">
        <v>0.6677</v>
      </c>
      <c r="J15" s="5" t="n">
        <f aca="false">B15*I15</f>
        <v>1.3354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.75" hidden="false" customHeight="false" outlineLevel="0" collapsed="false">
      <c r="A16" s="6" t="s">
        <v>80</v>
      </c>
      <c r="B16" s="3" t="n">
        <v>1</v>
      </c>
      <c r="C16" s="6" t="s">
        <v>81</v>
      </c>
      <c r="D16" s="6" t="s">
        <v>82</v>
      </c>
      <c r="E16" s="3"/>
      <c r="F16" s="6" t="s">
        <v>83</v>
      </c>
      <c r="G16" s="6" t="s">
        <v>84</v>
      </c>
      <c r="H16" s="4" t="str">
        <f aca="false">HYPERLINK("https://www.lcsc.com/product-detail/" &amp; F16 &amp; ".html", F16)</f>
        <v>C52917434</v>
      </c>
      <c r="I16" s="5" t="n">
        <v>0.0916</v>
      </c>
      <c r="J16" s="5" t="n">
        <f aca="false">B16*I16</f>
        <v>0.0916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.75" hidden="false" customHeight="false" outlineLevel="0" collapsed="false">
      <c r="A17" s="3" t="s">
        <v>85</v>
      </c>
      <c r="B17" s="3" t="n">
        <v>1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90</v>
      </c>
      <c r="H17" s="4" t="str">
        <f aca="false">HYPERLINK("https://www.lcsc.com/product-detail/" &amp; F17 &amp; ".html", F17)</f>
        <v>C206918</v>
      </c>
      <c r="I17" s="5" t="n">
        <v>1.9183</v>
      </c>
      <c r="J17" s="5" t="n">
        <f aca="false">B17*I17</f>
        <v>1.9183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.75" hidden="false" customHeight="false" outlineLevel="0" collapsed="false">
      <c r="A18" s="3" t="s">
        <v>91</v>
      </c>
      <c r="B18" s="3" t="n">
        <v>1</v>
      </c>
      <c r="C18" s="3" t="s">
        <v>92</v>
      </c>
      <c r="D18" s="3" t="s">
        <v>93</v>
      </c>
      <c r="E18" s="3" t="s">
        <v>94</v>
      </c>
      <c r="F18" s="3" t="s">
        <v>95</v>
      </c>
      <c r="G18" s="3" t="s">
        <v>92</v>
      </c>
      <c r="H18" s="4" t="str">
        <f aca="false">HYPERLINK("https://www.lcsc.com/product-detail/" &amp; F18 &amp; ".html", F18)</f>
        <v>C113010</v>
      </c>
      <c r="I18" s="5" t="n">
        <v>0.0139</v>
      </c>
      <c r="J18" s="5" t="n">
        <f aca="false">B18*I18</f>
        <v>0.0139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.75" hidden="false" customHeight="false" outlineLevel="0" collapsed="false">
      <c r="A19" s="3" t="s">
        <v>96</v>
      </c>
      <c r="B19" s="3" t="n">
        <v>1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97</v>
      </c>
      <c r="H19" s="4" t="str">
        <f aca="false">HYPERLINK("https://www.lcsc.com/product-detail/" &amp; F19 &amp; ".html", F19)</f>
        <v>C3025063</v>
      </c>
      <c r="I19" s="5" t="n">
        <v>1.1952</v>
      </c>
      <c r="J19" s="5" t="n">
        <f aca="false">B19*I19</f>
        <v>1.1952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.75" hidden="false" customHeight="false" outlineLevel="0" collapsed="false">
      <c r="A20" s="3" t="s">
        <v>101</v>
      </c>
      <c r="B20" s="3" t="n">
        <v>2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  <c r="H20" s="4" t="str">
        <f aca="false">HYPERLINK("https://www.lcsc.com/product-detail/" &amp; F20 &amp; ".html", F20)</f>
        <v>C7501259</v>
      </c>
      <c r="I20" s="5" t="n">
        <v>0.0146</v>
      </c>
      <c r="J20" s="5" t="n">
        <f aca="false">B20*I20</f>
        <v>0.0292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false" outlineLevel="0" collapsed="false">
      <c r="A21" s="3" t="s">
        <v>107</v>
      </c>
      <c r="B21" s="3" t="n">
        <v>1</v>
      </c>
      <c r="C21" s="3" t="s">
        <v>108</v>
      </c>
      <c r="D21" s="3" t="s">
        <v>109</v>
      </c>
      <c r="E21" s="3" t="s">
        <v>110</v>
      </c>
      <c r="F21" s="3" t="s">
        <v>111</v>
      </c>
      <c r="G21" s="3" t="s">
        <v>112</v>
      </c>
      <c r="H21" s="4" t="str">
        <f aca="false">HYPERLINK("https://www.lcsc.com/product-detail/" &amp; F21 &amp; ".html", F21)</f>
        <v>C7171947</v>
      </c>
      <c r="I21" s="5" t="n">
        <v>0.8446</v>
      </c>
      <c r="J21" s="5" t="n">
        <f aca="false">B21*I21</f>
        <v>0.8446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false" outlineLevel="0" collapsed="false">
      <c r="A22" s="3" t="s">
        <v>113</v>
      </c>
      <c r="B22" s="3" t="n">
        <v>1</v>
      </c>
      <c r="C22" s="3" t="s">
        <v>114</v>
      </c>
      <c r="D22" s="3" t="s">
        <v>115</v>
      </c>
      <c r="E22" s="3" t="s">
        <v>116</v>
      </c>
      <c r="F22" s="3" t="s">
        <v>117</v>
      </c>
      <c r="G22" s="3" t="s">
        <v>118</v>
      </c>
      <c r="H22" s="4" t="str">
        <f aca="false">HYPERLINK("https://www.lcsc.com/product-detail/" &amp; F22 &amp; ".html", F22)</f>
        <v>C706600</v>
      </c>
      <c r="I22" s="5" t="n">
        <v>0.1268</v>
      </c>
      <c r="J22" s="5" t="n">
        <f aca="false">B22*I22</f>
        <v>0.1268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.75" hidden="false" customHeight="false" outlineLevel="0" collapsed="false">
      <c r="A23" s="3" t="s">
        <v>119</v>
      </c>
      <c r="B23" s="3" t="n">
        <v>2</v>
      </c>
      <c r="C23" s="3" t="s">
        <v>120</v>
      </c>
      <c r="D23" s="3" t="s">
        <v>121</v>
      </c>
      <c r="E23" s="3" t="s">
        <v>122</v>
      </c>
      <c r="F23" s="3" t="s">
        <v>123</v>
      </c>
      <c r="G23" s="3" t="s">
        <v>120</v>
      </c>
      <c r="H23" s="4" t="str">
        <f aca="false">HYPERLINK("https://www.lcsc.com/product-detail/" &amp; F23 &amp; ".html", F23)</f>
        <v>C560863</v>
      </c>
      <c r="I23" s="5" t="n">
        <v>0.2159</v>
      </c>
      <c r="J23" s="5" t="n">
        <f aca="false">B23*I23</f>
        <v>0.4318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.75" hidden="false" customHeight="false" outlineLevel="0" collapsed="false">
      <c r="A24" s="3" t="s">
        <v>124</v>
      </c>
      <c r="B24" s="3" t="n">
        <v>2</v>
      </c>
      <c r="C24" s="3" t="s">
        <v>125</v>
      </c>
      <c r="D24" s="3" t="s">
        <v>47</v>
      </c>
      <c r="E24" s="3" t="s">
        <v>126</v>
      </c>
      <c r="F24" s="3" t="s">
        <v>127</v>
      </c>
      <c r="G24" s="3" t="s">
        <v>125</v>
      </c>
      <c r="H24" s="4" t="str">
        <f aca="false">HYPERLINK("https://www.lcsc.com/product-detail/" &amp; F24 &amp; ".html", F24)</f>
        <v>C258201</v>
      </c>
      <c r="I24" s="5" t="n">
        <v>0.2776</v>
      </c>
      <c r="J24" s="5" t="n">
        <f aca="false">B24*I24</f>
        <v>0.5552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.75" hidden="false" customHeight="false" outlineLevel="0" collapsed="false">
      <c r="A25" s="6" t="s">
        <v>128</v>
      </c>
      <c r="B25" s="3" t="n">
        <v>7</v>
      </c>
      <c r="C25" s="3" t="s">
        <v>129</v>
      </c>
      <c r="D25" s="3" t="s">
        <v>130</v>
      </c>
      <c r="E25" s="3" t="s">
        <v>131</v>
      </c>
      <c r="F25" s="3" t="s">
        <v>132</v>
      </c>
      <c r="G25" s="3" t="s">
        <v>133</v>
      </c>
      <c r="H25" s="4" t="str">
        <f aca="false">HYPERLINK("https://www.lcsc.com/product-detail/" &amp; F25 &amp; ".html", F25)</f>
        <v>C2930050</v>
      </c>
      <c r="I25" s="5" t="n">
        <v>0.0027</v>
      </c>
      <c r="J25" s="5" t="n">
        <f aca="false">B25*I25</f>
        <v>0.0189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.75" hidden="false" customHeight="false" outlineLevel="0" collapsed="false">
      <c r="A26" s="3" t="s">
        <v>134</v>
      </c>
      <c r="B26" s="3" t="n">
        <v>1</v>
      </c>
      <c r="C26" s="3" t="s">
        <v>135</v>
      </c>
      <c r="D26" s="3" t="s">
        <v>130</v>
      </c>
      <c r="E26" s="3" t="s">
        <v>131</v>
      </c>
      <c r="F26" s="3" t="s">
        <v>136</v>
      </c>
      <c r="G26" s="3" t="s">
        <v>137</v>
      </c>
      <c r="H26" s="4" t="str">
        <f aca="false">HYPERLINK("https://www.lcsc.com/product-detail/" &amp; F26 &amp; ".html", F26)</f>
        <v>C2907003</v>
      </c>
      <c r="I26" s="5" t="n">
        <v>0.0027</v>
      </c>
      <c r="J26" s="5" t="n">
        <f aca="false">B26*I26</f>
        <v>0.0027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.75" hidden="false" customHeight="false" outlineLevel="0" collapsed="false">
      <c r="A27" s="3" t="s">
        <v>138</v>
      </c>
      <c r="B27" s="3" t="n">
        <v>2</v>
      </c>
      <c r="C27" s="3" t="s">
        <v>139</v>
      </c>
      <c r="D27" s="3" t="s">
        <v>130</v>
      </c>
      <c r="E27" s="3" t="s">
        <v>131</v>
      </c>
      <c r="F27" s="3" t="s">
        <v>140</v>
      </c>
      <c r="G27" s="3" t="s">
        <v>141</v>
      </c>
      <c r="H27" s="4" t="str">
        <f aca="false">HYPERLINK("https://www.lcsc.com/product-detail/" &amp; F27 &amp; ".html", F27)</f>
        <v>C2907158</v>
      </c>
      <c r="I27" s="5" t="n">
        <v>0.0022</v>
      </c>
      <c r="J27" s="5" t="n">
        <f aca="false">B27*I27</f>
        <v>0.0044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.75" hidden="false" customHeight="false" outlineLevel="0" collapsed="false">
      <c r="A28" s="3" t="s">
        <v>142</v>
      </c>
      <c r="B28" s="3" t="n">
        <v>2</v>
      </c>
      <c r="C28" s="3" t="s">
        <v>143</v>
      </c>
      <c r="D28" s="3" t="s">
        <v>130</v>
      </c>
      <c r="E28" s="3" t="s">
        <v>131</v>
      </c>
      <c r="F28" s="3" t="s">
        <v>144</v>
      </c>
      <c r="G28" s="3" t="s">
        <v>145</v>
      </c>
      <c r="H28" s="4" t="str">
        <f aca="false">HYPERLINK("https://www.lcsc.com/product-detail/" &amp; F28 &amp; ".html", F28)</f>
        <v>C2907091</v>
      </c>
      <c r="I28" s="5" t="n">
        <v>0.0027</v>
      </c>
      <c r="J28" s="5" t="n">
        <f aca="false">B28*I28</f>
        <v>0.0054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.75" hidden="false" customHeight="false" outlineLevel="0" collapsed="false">
      <c r="A29" s="3" t="s">
        <v>146</v>
      </c>
      <c r="B29" s="3" t="n">
        <v>3</v>
      </c>
      <c r="C29" s="3" t="s">
        <v>147</v>
      </c>
      <c r="D29" s="3" t="s">
        <v>130</v>
      </c>
      <c r="E29" s="3" t="s">
        <v>131</v>
      </c>
      <c r="F29" s="3" t="s">
        <v>148</v>
      </c>
      <c r="G29" s="3" t="s">
        <v>149</v>
      </c>
      <c r="H29" s="4" t="str">
        <f aca="false">HYPERLINK("https://www.lcsc.com/product-detail/" &amp; F29 &amp; ".html", F29)</f>
        <v>C4134045</v>
      </c>
      <c r="I29" s="5" t="n">
        <v>0.0476</v>
      </c>
      <c r="J29" s="5" t="n">
        <f aca="false">B29*I29</f>
        <v>0.1428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.75" hidden="false" customHeight="false" outlineLevel="0" collapsed="false">
      <c r="A30" s="6" t="s">
        <v>150</v>
      </c>
      <c r="B30" s="3" t="n">
        <v>3</v>
      </c>
      <c r="C30" s="3" t="s">
        <v>151</v>
      </c>
      <c r="D30" s="3" t="s">
        <v>130</v>
      </c>
      <c r="E30" s="3" t="s">
        <v>131</v>
      </c>
      <c r="F30" s="3" t="s">
        <v>152</v>
      </c>
      <c r="G30" s="3" t="s">
        <v>153</v>
      </c>
      <c r="H30" s="4" t="str">
        <f aca="false">HYPERLINK("https://www.lcsc.com/product-detail/" &amp; F30 &amp; ".html", F30)</f>
        <v>C2907011</v>
      </c>
      <c r="I30" s="5" t="n">
        <v>0.0027</v>
      </c>
      <c r="J30" s="5" t="n">
        <f aca="false">B30*I30</f>
        <v>0.0081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.75" hidden="false" customHeight="false" outlineLevel="0" collapsed="false">
      <c r="A31" s="3" t="s">
        <v>154</v>
      </c>
      <c r="B31" s="3" t="n">
        <v>1</v>
      </c>
      <c r="C31" s="3" t="s">
        <v>155</v>
      </c>
      <c r="D31" s="3" t="s">
        <v>156</v>
      </c>
      <c r="E31" s="3" t="s">
        <v>131</v>
      </c>
      <c r="F31" s="3" t="s">
        <v>157</v>
      </c>
      <c r="G31" s="3" t="s">
        <v>158</v>
      </c>
      <c r="H31" s="4" t="str">
        <f aca="false">HYPERLINK("https://www.lcsc.com/product-detail/" &amp; F31 &amp; ".html", F31)</f>
        <v>C48533600</v>
      </c>
      <c r="I31" s="5" t="n">
        <v>0.0335</v>
      </c>
      <c r="J31" s="5" t="n">
        <f aca="false">B31*I31</f>
        <v>0.0335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.75" hidden="false" customHeight="false" outlineLevel="0" collapsed="false">
      <c r="A32" s="3" t="s">
        <v>159</v>
      </c>
      <c r="B32" s="3" t="n">
        <v>9</v>
      </c>
      <c r="C32" s="3" t="s">
        <v>160</v>
      </c>
      <c r="D32" s="3" t="s">
        <v>130</v>
      </c>
      <c r="E32" s="3" t="s">
        <v>131</v>
      </c>
      <c r="F32" s="3" t="s">
        <v>161</v>
      </c>
      <c r="G32" s="3" t="s">
        <v>162</v>
      </c>
      <c r="H32" s="4" t="str">
        <f aca="false">HYPERLINK("https://www.lcsc.com/product-detail/" &amp; F32 &amp; ".html", F32)</f>
        <v>C2907044</v>
      </c>
      <c r="I32" s="5" t="n">
        <v>0.0028</v>
      </c>
      <c r="J32" s="5" t="n">
        <f aca="false">B32*I32</f>
        <v>0.0252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.75" hidden="false" customHeight="false" outlineLevel="0" collapsed="false">
      <c r="A33" s="3" t="s">
        <v>163</v>
      </c>
      <c r="B33" s="3" t="n">
        <v>2</v>
      </c>
      <c r="C33" s="3" t="s">
        <v>164</v>
      </c>
      <c r="D33" s="3" t="s">
        <v>130</v>
      </c>
      <c r="E33" s="3" t="s">
        <v>131</v>
      </c>
      <c r="F33" s="3" t="s">
        <v>165</v>
      </c>
      <c r="G33" s="3" t="s">
        <v>166</v>
      </c>
      <c r="H33" s="4" t="str">
        <f aca="false">HYPERLINK("https://www.lcsc.com/product-detail/" &amp; F33 &amp; ".html", F33)</f>
        <v>C2930036</v>
      </c>
      <c r="I33" s="5" t="n">
        <v>0.0023</v>
      </c>
      <c r="J33" s="5" t="n">
        <f aca="false">B33*I33</f>
        <v>0.0046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.75" hidden="false" customHeight="false" outlineLevel="0" collapsed="false">
      <c r="A34" s="3" t="s">
        <v>167</v>
      </c>
      <c r="B34" s="3" t="n">
        <v>3</v>
      </c>
      <c r="C34" s="3" t="s">
        <v>168</v>
      </c>
      <c r="D34" s="3" t="s">
        <v>130</v>
      </c>
      <c r="E34" s="3" t="s">
        <v>131</v>
      </c>
      <c r="F34" s="3" t="s">
        <v>169</v>
      </c>
      <c r="G34" s="3" t="s">
        <v>170</v>
      </c>
      <c r="H34" s="4" t="str">
        <f aca="false">HYPERLINK("https://www.lcsc.com/product-detail/" &amp; F34 &amp; ".html", F34)</f>
        <v>C2076611</v>
      </c>
      <c r="I34" s="5" t="n">
        <v>0.0156</v>
      </c>
      <c r="J34" s="5" t="n">
        <f aca="false">B34*I34</f>
        <v>0.0468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.75" hidden="false" customHeight="false" outlineLevel="0" collapsed="false">
      <c r="A35" s="3" t="s">
        <v>171</v>
      </c>
      <c r="B35" s="3" t="n">
        <v>3</v>
      </c>
      <c r="C35" s="3" t="s">
        <v>172</v>
      </c>
      <c r="D35" s="3" t="s">
        <v>130</v>
      </c>
      <c r="E35" s="3" t="s">
        <v>131</v>
      </c>
      <c r="F35" s="3" t="s">
        <v>173</v>
      </c>
      <c r="G35" s="3" t="s">
        <v>174</v>
      </c>
      <c r="H35" s="4" t="str">
        <f aca="false">HYPERLINK("https://www.lcsc.com/product-detail/" &amp; F35 &amp; ".html", F35)</f>
        <v>C2907099</v>
      </c>
      <c r="I35" s="5" t="n">
        <v>0.0024</v>
      </c>
      <c r="J35" s="5" t="n">
        <f aca="false">B35*I35</f>
        <v>0.0072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.75" hidden="false" customHeight="false" outlineLevel="0" collapsed="false">
      <c r="A36" s="3" t="s">
        <v>175</v>
      </c>
      <c r="B36" s="3" t="n">
        <v>1</v>
      </c>
      <c r="C36" s="3" t="s">
        <v>176</v>
      </c>
      <c r="D36" s="3" t="s">
        <v>130</v>
      </c>
      <c r="E36" s="3" t="s">
        <v>131</v>
      </c>
      <c r="F36" s="3" t="s">
        <v>177</v>
      </c>
      <c r="G36" s="3" t="s">
        <v>178</v>
      </c>
      <c r="H36" s="4" t="str">
        <f aca="false">HYPERLINK("https://www.lcsc.com/product-detail/" &amp; F36 &amp; ".html", F36)</f>
        <v>C2930084</v>
      </c>
      <c r="I36" s="5" t="n">
        <v>0.0028</v>
      </c>
      <c r="J36" s="5" t="n">
        <f aca="false">B36*I36</f>
        <v>0.0028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.75" hidden="false" customHeight="false" outlineLevel="0" collapsed="false">
      <c r="A37" s="3" t="s">
        <v>179</v>
      </c>
      <c r="B37" s="3" t="n">
        <v>2</v>
      </c>
      <c r="C37" s="3" t="s">
        <v>180</v>
      </c>
      <c r="D37" s="3" t="s">
        <v>181</v>
      </c>
      <c r="E37" s="3" t="s">
        <v>182</v>
      </c>
      <c r="F37" s="3" t="s">
        <v>183</v>
      </c>
      <c r="G37" s="3" t="s">
        <v>184</v>
      </c>
      <c r="H37" s="4" t="str">
        <f aca="false">HYPERLINK("https://www.lcsc.com/product-detail/" &amp; F37 &amp; ".html", F37)</f>
        <v>C5594007</v>
      </c>
      <c r="I37" s="5" t="n">
        <v>1.2121</v>
      </c>
      <c r="J37" s="5" t="n">
        <f aca="false">B37*I37</f>
        <v>2.4242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.75" hidden="false" customHeight="false" outlineLevel="0" collapsed="false">
      <c r="A38" s="3" t="s">
        <v>185</v>
      </c>
      <c r="B38" s="3" t="n">
        <v>1</v>
      </c>
      <c r="C38" s="3" t="s">
        <v>186</v>
      </c>
      <c r="D38" s="3" t="s">
        <v>121</v>
      </c>
      <c r="E38" s="3" t="s">
        <v>187</v>
      </c>
      <c r="F38" s="3" t="s">
        <v>188</v>
      </c>
      <c r="G38" s="3" t="s">
        <v>189</v>
      </c>
      <c r="H38" s="4" t="str">
        <f aca="false">HYPERLINK("https://www.lcsc.com/product-detail/" &amp; F38 &amp; ".html", F38)</f>
        <v>C23487</v>
      </c>
      <c r="I38" s="5" t="n">
        <v>4.9347</v>
      </c>
      <c r="J38" s="5" t="n">
        <f aca="false">B38*I38</f>
        <v>4.9347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.75" hidden="false" customHeight="false" outlineLevel="0" collapsed="false">
      <c r="A39" s="3" t="s">
        <v>190</v>
      </c>
      <c r="B39" s="3" t="n">
        <v>1</v>
      </c>
      <c r="C39" s="3" t="s">
        <v>191</v>
      </c>
      <c r="D39" s="3" t="s">
        <v>192</v>
      </c>
      <c r="E39" s="3" t="s">
        <v>193</v>
      </c>
      <c r="F39" s="3" t="s">
        <v>194</v>
      </c>
      <c r="G39" s="3" t="s">
        <v>191</v>
      </c>
      <c r="H39" s="4" t="str">
        <f aca="false">HYPERLINK("https://www.lcsc.com/product-detail/" &amp; F39 &amp; ".html", F39)</f>
        <v>C2158012</v>
      </c>
      <c r="I39" s="5" t="n">
        <v>0.658</v>
      </c>
      <c r="J39" s="5" t="n">
        <f aca="false">B39*I39</f>
        <v>0.658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.75" hidden="false" customHeight="false" outlineLevel="0" collapsed="false">
      <c r="A40" s="3" t="s">
        <v>195</v>
      </c>
      <c r="B40" s="3" t="n">
        <v>1</v>
      </c>
      <c r="C40" s="3" t="s">
        <v>196</v>
      </c>
      <c r="D40" s="3" t="s">
        <v>197</v>
      </c>
      <c r="E40" s="3" t="s">
        <v>198</v>
      </c>
      <c r="F40" s="3" t="s">
        <v>199</v>
      </c>
      <c r="G40" s="3" t="s">
        <v>196</v>
      </c>
      <c r="H40" s="4" t="str">
        <f aca="false">HYPERLINK("https://www.lcsc.com/product-detail/" &amp; F40 &amp; ".html", F40)</f>
        <v>C2678061</v>
      </c>
      <c r="I40" s="5" t="n">
        <v>2.1956</v>
      </c>
      <c r="J40" s="5" t="n">
        <f aca="false">B40*I40</f>
        <v>2.1956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.75" hidden="false" customHeight="false" outlineLevel="0" collapsed="false">
      <c r="A41" s="3" t="s">
        <v>200</v>
      </c>
      <c r="B41" s="3" t="n">
        <v>1</v>
      </c>
      <c r="C41" s="3" t="s">
        <v>201</v>
      </c>
      <c r="D41" s="3" t="s">
        <v>52</v>
      </c>
      <c r="E41" s="3" t="s">
        <v>202</v>
      </c>
      <c r="F41" s="3" t="s">
        <v>203</v>
      </c>
      <c r="G41" s="3" t="s">
        <v>204</v>
      </c>
      <c r="H41" s="4" t="str">
        <f aca="false">HYPERLINK("https://www.lcsc.com/product-detail/" &amp; F41 &amp; ".html", F41)</f>
        <v>C29613</v>
      </c>
      <c r="I41" s="5" t="n">
        <v>0.5892</v>
      </c>
      <c r="J41" s="5" t="n">
        <f aca="false">B41*I41</f>
        <v>0.5892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.75" hidden="false" customHeight="false" outlineLevel="0" collapsed="false">
      <c r="A42" s="3" t="s">
        <v>205</v>
      </c>
      <c r="B42" s="3" t="n">
        <v>1</v>
      </c>
      <c r="C42" s="3" t="s">
        <v>206</v>
      </c>
      <c r="D42" s="3" t="s">
        <v>207</v>
      </c>
      <c r="E42" s="3" t="s">
        <v>208</v>
      </c>
      <c r="F42" s="3" t="s">
        <v>209</v>
      </c>
      <c r="G42" s="3" t="s">
        <v>210</v>
      </c>
      <c r="H42" s="4" t="str">
        <f aca="false">HYPERLINK("https://www.lcsc.com/product-detail/" &amp; F42 &amp; ".html", F42)</f>
        <v>C5248081</v>
      </c>
      <c r="I42" s="5" t="n">
        <v>2.2378</v>
      </c>
      <c r="J42" s="5" t="n">
        <f aca="false">B42*I42</f>
        <v>2.2378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.75" hidden="false" customHeight="false" outlineLevel="0" collapsed="false">
      <c r="A43" s="3" t="s">
        <v>211</v>
      </c>
      <c r="B43" s="3" t="n">
        <v>1</v>
      </c>
      <c r="C43" s="3" t="s">
        <v>212</v>
      </c>
      <c r="D43" s="3" t="s">
        <v>213</v>
      </c>
      <c r="E43" s="3" t="s">
        <v>214</v>
      </c>
      <c r="F43" s="3" t="s">
        <v>215</v>
      </c>
      <c r="G43" s="3" t="s">
        <v>212</v>
      </c>
      <c r="H43" s="4" t="str">
        <f aca="false">HYPERLINK("https://www.lcsc.com/product-detail/" &amp; F43 &amp; ".html", F43)</f>
        <v>C8734</v>
      </c>
      <c r="I43" s="5" t="n">
        <v>2.0073</v>
      </c>
      <c r="J43" s="5" t="n">
        <f aca="false">B43*I43</f>
        <v>2.0073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.75" hidden="false" customHeight="false" outlineLevel="0" collapsed="false">
      <c r="A44" s="3" t="s">
        <v>216</v>
      </c>
      <c r="B44" s="3" t="n">
        <v>1</v>
      </c>
      <c r="C44" s="3" t="s">
        <v>217</v>
      </c>
      <c r="D44" s="3" t="s">
        <v>47</v>
      </c>
      <c r="E44" s="3" t="s">
        <v>218</v>
      </c>
      <c r="F44" s="3" t="s">
        <v>219</v>
      </c>
      <c r="G44" s="3" t="s">
        <v>220</v>
      </c>
      <c r="H44" s="4" t="str">
        <f aca="false">HYPERLINK("https://www.lcsc.com/product-detail/" &amp; F44 &amp; ".html", F44)</f>
        <v>C127949</v>
      </c>
      <c r="I44" s="5" t="n">
        <v>0.446</v>
      </c>
      <c r="J44" s="5" t="n">
        <f aca="false">B44*I44</f>
        <v>0.446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46.2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8" t="s">
        <v>221</v>
      </c>
      <c r="J45" s="9" t="n">
        <f aca="false">SUM(J2:J44)</f>
        <v>25.9777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.75" hidden="false" customHeight="false" outlineLevel="0" collapsed="false">
      <c r="A46" s="3" t="s">
        <v>222</v>
      </c>
      <c r="B46" s="3" t="n">
        <v>1</v>
      </c>
      <c r="C46" s="3"/>
      <c r="D46" s="3"/>
      <c r="E46" s="3"/>
      <c r="F46" s="3"/>
      <c r="G46" s="3"/>
      <c r="H46" s="3"/>
      <c r="I46" s="5" t="n">
        <v>2</v>
      </c>
      <c r="J46" s="5" t="n">
        <f aca="false">B46*I46</f>
        <v>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.75" hidden="false" customHeight="false" outlineLevel="0" collapsed="false">
      <c r="A47" s="3" t="s">
        <v>223</v>
      </c>
      <c r="B47" s="3" t="n">
        <v>1</v>
      </c>
      <c r="C47" s="3"/>
      <c r="D47" s="3"/>
      <c r="E47" s="3"/>
      <c r="F47" s="3"/>
      <c r="G47" s="3"/>
      <c r="H47" s="3"/>
      <c r="I47" s="5" t="n">
        <v>7</v>
      </c>
      <c r="J47" s="5" t="n">
        <f aca="false">B47*I47</f>
        <v>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31.3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8" t="s">
        <v>224</v>
      </c>
      <c r="J48" s="10" t="n">
        <f aca="false">SUM(J46:J47)</f>
        <v>9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.75" hidden="false" customHeight="false" outlineLevel="0" collapsed="false">
      <c r="A49" s="11" t="s">
        <v>225</v>
      </c>
      <c r="B49" s="3" t="n">
        <v>1</v>
      </c>
      <c r="C49" s="3"/>
      <c r="D49" s="3"/>
      <c r="E49" s="3"/>
      <c r="F49" s="3" t="s">
        <v>226</v>
      </c>
      <c r="G49" s="3" t="s">
        <v>227</v>
      </c>
      <c r="H49" s="4" t="str">
        <f aca="false">HYPERLINK("https://www.lcsc.com/product-detail/" &amp; F49 &amp; ".html", F49)</f>
        <v>C3040679</v>
      </c>
      <c r="I49" s="5" t="n">
        <v>0.6084</v>
      </c>
      <c r="J49" s="5" t="n">
        <f aca="false">B49*I49</f>
        <v>0.6084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46.25" hidden="false" customHeight="false" outlineLevel="0" collapsed="false">
      <c r="A50" s="12" t="s">
        <v>228</v>
      </c>
      <c r="B50" s="12" t="n">
        <v>2</v>
      </c>
      <c r="C50" s="12" t="s">
        <v>229</v>
      </c>
      <c r="D50" s="13"/>
      <c r="E50" s="13"/>
      <c r="F50" s="13" t="s">
        <v>230</v>
      </c>
      <c r="G50" s="13"/>
      <c r="H50" s="14" t="str">
        <f aca="false">HYPERLINK("https://www.lcsc.com/product-detail/" &amp; F50 &amp; ".html", F50)</f>
        <v>C2760668</v>
      </c>
      <c r="I50" s="15" t="n">
        <v>0.1706</v>
      </c>
      <c r="J50" s="15" t="n">
        <f aca="false">B50*I50</f>
        <v>0.3412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46.25" hidden="false" customHeight="false" outlineLevel="0" collapsed="false">
      <c r="A51" s="12" t="s">
        <v>231</v>
      </c>
      <c r="B51" s="12" t="n">
        <v>1</v>
      </c>
      <c r="C51" s="12" t="s">
        <v>232</v>
      </c>
      <c r="D51" s="13"/>
      <c r="E51" s="13"/>
      <c r="F51" s="13" t="s">
        <v>233</v>
      </c>
      <c r="G51" s="13"/>
      <c r="H51" s="14" t="str">
        <f aca="false">HYPERLINK("https://www.lcsc.com/product-detail/" &amp; F51 &amp; ".html", F51)</f>
        <v>C2760669</v>
      </c>
      <c r="I51" s="15" t="n">
        <v>0.1899</v>
      </c>
      <c r="J51" s="15" t="n">
        <f aca="false">B51*I51</f>
        <v>0.1899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46.25" hidden="false" customHeight="false" outlineLevel="0" collapsed="false">
      <c r="A52" s="11" t="s">
        <v>234</v>
      </c>
      <c r="B52" s="3" t="n">
        <v>5</v>
      </c>
      <c r="C52" s="3"/>
      <c r="D52" s="3"/>
      <c r="E52" s="3"/>
      <c r="F52" s="3" t="s">
        <v>235</v>
      </c>
      <c r="G52" s="3" t="s">
        <v>236</v>
      </c>
      <c r="H52" s="4" t="str">
        <f aca="false">HYPERLINK("https://www.lcsc.com/product-detail/" &amp; F52 &amp; ".html", F52)</f>
        <v>C17283940</v>
      </c>
      <c r="I52" s="5" t="n">
        <v>0.3633</v>
      </c>
      <c r="J52" s="5" t="n">
        <f aca="false">B52*I52</f>
        <v>1.8165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61.15" hidden="false" customHeight="false" outlineLevel="0" collapsed="false">
      <c r="A53" s="11" t="s">
        <v>237</v>
      </c>
      <c r="B53" s="3" t="n">
        <v>4</v>
      </c>
      <c r="C53" s="3"/>
      <c r="D53" s="3"/>
      <c r="E53" s="11" t="s">
        <v>238</v>
      </c>
      <c r="F53" s="3"/>
      <c r="G53" s="3"/>
      <c r="H53" s="3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61.15" hidden="false" customHeight="false" outlineLevel="0" collapsed="false">
      <c r="A54" s="11" t="s">
        <v>239</v>
      </c>
      <c r="B54" s="3" t="n">
        <v>4</v>
      </c>
      <c r="C54" s="3"/>
      <c r="D54" s="3"/>
      <c r="E54" s="11" t="s">
        <v>240</v>
      </c>
      <c r="F54" s="3"/>
      <c r="G54" s="3"/>
      <c r="H54" s="3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46.25" hidden="false" customHeight="false" outlineLevel="0" collapsed="false">
      <c r="A55" s="11" t="s">
        <v>241</v>
      </c>
      <c r="B55" s="3" t="n">
        <v>2</v>
      </c>
      <c r="C55" s="3"/>
      <c r="D55" s="3"/>
      <c r="E55" s="11" t="s">
        <v>242</v>
      </c>
      <c r="F55" s="3"/>
      <c r="G55" s="3"/>
      <c r="H55" s="3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46.25" hidden="false" customHeight="false" outlineLevel="0" collapsed="false">
      <c r="A56" s="11" t="s">
        <v>243</v>
      </c>
      <c r="B56" s="3" t="n">
        <v>2</v>
      </c>
      <c r="C56" s="3"/>
      <c r="D56" s="3"/>
      <c r="E56" s="11" t="s">
        <v>244</v>
      </c>
      <c r="F56" s="3"/>
      <c r="G56" s="3"/>
      <c r="H56" s="4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46.25" hidden="false" customHeight="false" outlineLevel="0" collapsed="false">
      <c r="A57" s="11" t="s">
        <v>245</v>
      </c>
      <c r="B57" s="3" t="n">
        <v>4</v>
      </c>
      <c r="C57" s="3"/>
      <c r="D57" s="3"/>
      <c r="E57" s="11"/>
      <c r="F57" s="3"/>
      <c r="G57" s="3"/>
      <c r="H57" s="3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91" hidden="false" customHeight="false" outlineLevel="0" collapsed="false">
      <c r="A58" s="11" t="s">
        <v>246</v>
      </c>
      <c r="B58" s="3" t="n">
        <v>1</v>
      </c>
      <c r="C58" s="3"/>
      <c r="D58" s="3"/>
      <c r="E58" s="11" t="s">
        <v>247</v>
      </c>
      <c r="F58" s="3"/>
      <c r="G58" s="3"/>
      <c r="H58" s="3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.75" hidden="false" customHeight="false" outlineLevel="0" collapsed="false">
      <c r="A59" s="6" t="s">
        <v>248</v>
      </c>
      <c r="B59" s="16" t="n">
        <v>2</v>
      </c>
      <c r="C59" s="6" t="s">
        <v>249</v>
      </c>
      <c r="D59" s="6"/>
      <c r="E59" s="6"/>
      <c r="F59" s="6" t="s">
        <v>250</v>
      </c>
      <c r="G59" s="6" t="s">
        <v>249</v>
      </c>
      <c r="H59" s="4" t="str">
        <f aca="false">HYPERLINK("https://www.lcsc.com/product-detail/" &amp; F59 &amp; ".html", F59)</f>
        <v>C2733560</v>
      </c>
      <c r="I59" s="17" t="n">
        <v>0.1032</v>
      </c>
      <c r="J59" s="17" t="n">
        <f aca="false">B59*I59</f>
        <v>0.2064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6.4" hidden="false" customHeight="false" outlineLevel="0" collapsed="false">
      <c r="A60" s="11" t="s">
        <v>251</v>
      </c>
      <c r="B60" s="3" t="n">
        <v>1</v>
      </c>
      <c r="C60" s="3"/>
      <c r="D60" s="3"/>
      <c r="E60" s="3"/>
      <c r="F60" s="3"/>
      <c r="G60" s="3"/>
      <c r="H60" s="3"/>
      <c r="I60" s="5" t="n">
        <v>5</v>
      </c>
      <c r="J60" s="5" t="n">
        <f aca="false">B60*I60</f>
        <v>5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6.4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8" t="s">
        <v>252</v>
      </c>
      <c r="J61" s="10" t="n">
        <f aca="false">SUM(J49:J60)</f>
        <v>8.1624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.75" hidden="false" customHeight="false" outlineLevel="0" collapsed="false">
      <c r="A62" s="3" t="s">
        <v>253</v>
      </c>
      <c r="B62" s="3" t="n">
        <v>1</v>
      </c>
      <c r="C62" s="3"/>
      <c r="D62" s="3"/>
      <c r="E62" s="3"/>
      <c r="F62" s="3"/>
      <c r="G62" s="3"/>
      <c r="H62" s="4"/>
      <c r="I62" s="5" t="n">
        <v>15</v>
      </c>
      <c r="J62" s="5" t="n">
        <f aca="false">B62*I62</f>
        <v>15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.75" hidden="false" customHeight="false" outlineLevel="0" collapsed="false">
      <c r="A63" s="3" t="s">
        <v>254</v>
      </c>
      <c r="B63" s="3" t="n">
        <v>1</v>
      </c>
      <c r="C63" s="3"/>
      <c r="D63" s="3"/>
      <c r="E63" s="3"/>
      <c r="F63" s="3"/>
      <c r="G63" s="3"/>
      <c r="H63" s="3"/>
      <c r="I63" s="5" t="n">
        <v>5</v>
      </c>
      <c r="J63" s="5" t="n">
        <f aca="false">B63*I63</f>
        <v>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.7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8" t="s">
        <v>255</v>
      </c>
      <c r="J64" s="10" t="n">
        <f aca="false">SUM(J62:J63)</f>
        <v>20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.7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9" t="s">
        <v>256</v>
      </c>
      <c r="J65" s="20" t="n">
        <f aca="false">SUM(J45,J48,J61,J64)</f>
        <v>63.1401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customFormat="false" ht="15.75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customFormat="false" ht="15.75" hidden="false" customHeight="false" outlineLevel="0" collapsed="false"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customFormat="false" ht="15.75" hidden="false" customHeight="false" outlineLevel="0" collapsed="false"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48576" customFormat="false" ht="12.8" hidden="false" customHeight="true" outlineLevel="0" collapsed="false"/>
  </sheetData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2026-09-30T14:24:03Z</dcterms:modified>
  <cp:revision>1</cp:revision>
  <dc:subject/>
  <dc:title/>
</cp:coreProperties>
</file>