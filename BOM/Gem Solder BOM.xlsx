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<sst xmlns="http://schemas.openxmlformats.org/spreadsheetml/2006/main" count="308" uniqueCount="264">
  <si>
    <t>Reference</t>
  </si>
  <si>
    <t>Qty</t>
  </si>
  <si>
    <t>Value</t>
  </si>
  <si>
    <t>Footprint</t>
  </si>
  <si>
    <t>Description</t>
  </si>
  <si>
    <t>LCSC Part Number</t>
  </si>
  <si>
    <t>MPN</t>
  </si>
  <si>
    <t>Link</t>
  </si>
  <si>
    <t>Price per single unit</t>
  </si>
  <si>
    <t>Price per Qty</t>
  </si>
  <si>
    <t>C2,C10,C18</t>
  </si>
  <si>
    <t>1n</t>
  </si>
  <si>
    <t>Capacitor_SMD:C_0603_1608Metric</t>
  </si>
  <si>
    <t>Unpolarized capacitor, small symbol</t>
  </si>
  <si>
    <t>C163508</t>
  </si>
  <si>
    <t>C0603C102J3GACAUTO</t>
  </si>
  <si>
    <t>C4,C7</t>
  </si>
  <si>
    <t>10u</t>
  </si>
  <si>
    <t>Capacitor_SMD:C_1206_3216Metric</t>
  </si>
  <si>
    <t>C105175</t>
  </si>
  <si>
    <t>MSASU31LBB5106KTNA01</t>
  </si>
  <si>
    <t>C5</t>
  </si>
  <si>
    <t>220u</t>
  </si>
  <si>
    <t>Capacitor_SMD:CP_Elec_8x10.5</t>
  </si>
  <si>
    <t>Polarized capacitor</t>
  </si>
  <si>
    <t>C278406</t>
  </si>
  <si>
    <t>EEEFP1V221AP</t>
  </si>
  <si>
    <t>C6,C12,C14,C16,C17,C20,C25,C26,C27,C28</t>
  </si>
  <si>
    <t>100n</t>
  </si>
  <si>
    <t>C346190</t>
  </si>
  <si>
    <t>CL10B104KA8WPNC</t>
  </si>
  <si>
    <t>C8,C9,C11,C21,C22,C23,C24</t>
  </si>
  <si>
    <t>1u</t>
  </si>
  <si>
    <t>C85862</t>
  </si>
  <si>
    <t>GCM188R71E105KA64D</t>
  </si>
  <si>
    <t>C13,C15</t>
  </si>
  <si>
    <t>22u</t>
  </si>
  <si>
    <t>C2762594</t>
  </si>
  <si>
    <t>CL10A226MO7JZNC</t>
  </si>
  <si>
    <t>C19</t>
  </si>
  <si>
    <t>4.7u 10V</t>
  </si>
  <si>
    <t>Capacitor_Tantalum_SMD:CP_EIA-3216-18_Kemet-A</t>
  </si>
  <si>
    <t>Polarized capacitor, small symbol</t>
  </si>
  <si>
    <t>C7187</t>
  </si>
  <si>
    <t>TAJA475K016RNJ</t>
  </si>
  <si>
    <t>D1,D2</t>
  </si>
  <si>
    <t>BAV199.215</t>
  </si>
  <si>
    <t>Package_TO_SOT_SMD:SOT-23</t>
  </si>
  <si>
    <t>BAV99 High-speed switching diodes, SOT-23</t>
  </si>
  <si>
    <t>C40919</t>
  </si>
  <si>
    <t>D3</t>
  </si>
  <si>
    <t>ESDA6V1SC5</t>
  </si>
  <si>
    <t>Package_TO_SOT_SMD:SOT-23-5</t>
  </si>
  <si>
    <t>Quad TVS Diode Array, 6.1V Standoff, 4 Channels, 400W, ±30kV, SOT-23-5</t>
  </si>
  <si>
    <t>C2935146</t>
  </si>
  <si>
    <t>D4,D5</t>
  </si>
  <si>
    <t>SMAJ24CA</t>
  </si>
  <si>
    <t>Diode_SMD:D_SMA</t>
  </si>
  <si>
    <t>C148223</t>
  </si>
  <si>
    <t>D6</t>
  </si>
  <si>
    <t>PMEG6010CEH.115</t>
  </si>
  <si>
    <t>Diode_SMD:D_SOD-123F</t>
  </si>
  <si>
    <t>Schottky diode, small symbol</t>
  </si>
  <si>
    <t>C53113897</t>
  </si>
  <si>
    <t>PMEG6010CEH.115-JSM</t>
  </si>
  <si>
    <t>D7,D8</t>
  </si>
  <si>
    <t>BAT54SW</t>
  </si>
  <si>
    <t>Package_TO_SOT_SMD:SOT-323_SC-70</t>
  </si>
  <si>
    <t>Vr 30V, If 200mA, Dual schottky barrier diode, in series, SOT-323</t>
  </si>
  <si>
    <t>C78606</t>
  </si>
  <si>
    <t>BAT54SW.115</t>
  </si>
  <si>
    <t>D9</t>
  </si>
  <si>
    <t>BZV55-B12.115</t>
  </si>
  <si>
    <t>Diode_SMD:D_MiniMELF</t>
  </si>
  <si>
    <t>Zener diode, small symbol</t>
  </si>
  <si>
    <t>C426807</t>
  </si>
  <si>
    <t>D10,D11</t>
  </si>
  <si>
    <t>1N4148WSF-7</t>
  </si>
  <si>
    <t>Diode_SMD:D_SOD-323_HandSoldering</t>
  </si>
  <si>
    <t>C119617</t>
  </si>
  <si>
    <t>D12</t>
  </si>
  <si>
    <t>WS2812B-2020</t>
  </si>
  <si>
    <t>Footprints:RGB_LED_WS2812B-2020_2.0x2.0mm</t>
  </si>
  <si>
    <t>C52917434</t>
  </si>
  <si>
    <t>WS2812B-2020-V6</t>
  </si>
  <si>
    <t>F1</t>
  </si>
  <si>
    <t>7A</t>
  </si>
  <si>
    <t>Footprints:0154100DR</t>
  </si>
  <si>
    <t>Fuse</t>
  </si>
  <si>
    <t>C206918</t>
  </si>
  <si>
    <t>0154007.DR</t>
  </si>
  <si>
    <t>FB1</t>
  </si>
  <si>
    <t>BLM18AG331SN1D</t>
  </si>
  <si>
    <t>Inductor_SMD:L_0603_1608Metric</t>
  </si>
  <si>
    <t>Ferrite bead, small symbol</t>
  </si>
  <si>
    <t>C113010</t>
  </si>
  <si>
    <t>J1</t>
  </si>
  <si>
    <t>Screw_Terminal_01x06</t>
  </si>
  <si>
    <t>Footprints:TerminalBlock_DG350-3.5-07P-14-00AH_1x07_P3.50mm</t>
  </si>
  <si>
    <t>Generic screw terminal, single row, 01x07, script generated (kicad-library-utils/schlib/autogen/connector/)</t>
  </si>
  <si>
    <t>J2</t>
  </si>
  <si>
    <t>USB4105-GF-A-060</t>
  </si>
  <si>
    <t>Connector_USB:USB_C_Receptacle_GCT_USB4105-xx-A_16P_TopMnt_Horizontal</t>
  </si>
  <si>
    <t>USB 2.0-only 16P Type-C Receptacle connector</t>
  </si>
  <si>
    <t>C3025063</t>
  </si>
  <si>
    <t>J3,J4</t>
  </si>
  <si>
    <t>Conn_01x01_Pin</t>
  </si>
  <si>
    <t>Connector_PinHeader_2.54mm:PinHeader_1x01_P2.54mm_Vertical</t>
  </si>
  <si>
    <t>Generic connector, single row, 01x01, script generated</t>
  </si>
  <si>
    <t>C7501259</t>
  </si>
  <si>
    <t>ZX-PZ2.54-1-1PZZ</t>
  </si>
  <si>
    <t>J5</t>
  </si>
  <si>
    <t>Conn_01x05_Socket</t>
  </si>
  <si>
    <t>Connector_PinSocket_2.54mm:PinSocket_1x05_P2.54mm_Vertical</t>
  </si>
  <si>
    <t>Generic connector, single row, 01x05, script generated</t>
  </si>
  <si>
    <t>C7171947</t>
  </si>
  <si>
    <t>215298-5</t>
  </si>
  <si>
    <t>L1</t>
  </si>
  <si>
    <t>47uH</t>
  </si>
  <si>
    <t>Inductor_SMD:L_APV_APH0630</t>
  </si>
  <si>
    <t>Inductor</t>
  </si>
  <si>
    <t>C706600</t>
  </si>
  <si>
    <t>SMMS0630-470MT</t>
  </si>
  <si>
    <t>Q2,Q4</t>
  </si>
  <si>
    <t>AO4435</t>
  </si>
  <si>
    <t>Package_SO:SOIC-8_3.9x4.9mm_P1.27mm</t>
  </si>
  <si>
    <t>-6.7A Id, -20V Vds, P-Channel HEXFET Power MOSFET, SO-8</t>
  </si>
  <si>
    <t>C3000</t>
  </si>
  <si>
    <t>IRF7416TRPBF</t>
  </si>
  <si>
    <t>Q3,Q5</t>
  </si>
  <si>
    <t>BSR14</t>
  </si>
  <si>
    <t>TRANS NPN 40V 800mA SOT-23</t>
  </si>
  <si>
    <t>C258201</t>
  </si>
  <si>
    <t>R1,R2,R9,R10,R19,R31,R34</t>
  </si>
  <si>
    <t>1.5k</t>
  </si>
  <si>
    <t>Resistor_SMD:R_0603_1608Metric</t>
  </si>
  <si>
    <t>Resistor, small symbol</t>
  </si>
  <si>
    <t>C2930050</t>
  </si>
  <si>
    <t>FRC0603F1501TS</t>
  </si>
  <si>
    <t>R4</t>
  </si>
  <si>
    <t>1M</t>
  </si>
  <si>
    <t>C2907003</t>
  </si>
  <si>
    <t>FRC0603F1004TS</t>
  </si>
  <si>
    <t>R5,R6</t>
  </si>
  <si>
    <t>390k</t>
  </si>
  <si>
    <t>C2907158</t>
  </si>
  <si>
    <t>FRC0603J394 TS</t>
  </si>
  <si>
    <t>R7,R16</t>
  </si>
  <si>
    <t>10R</t>
  </si>
  <si>
    <t>C2907091</t>
  </si>
  <si>
    <t>FRC0603J100 TS</t>
  </si>
  <si>
    <t>R8,R28,R30</t>
  </si>
  <si>
    <t>10k</t>
  </si>
  <si>
    <t>C4134045</t>
  </si>
  <si>
    <t>RCS060310K0JNEA</t>
  </si>
  <si>
    <t>R17,R20,R35</t>
  </si>
  <si>
    <t>20k</t>
  </si>
  <si>
    <t>C2907011</t>
  </si>
  <si>
    <t>FRC0603F2002TS</t>
  </si>
  <si>
    <t>R11</t>
  </si>
  <si>
    <t>RMF2512FTR005</t>
  </si>
  <si>
    <t>Resistor_SMD:R_2512_6332Metric</t>
  </si>
  <si>
    <t>C48533600</t>
  </si>
  <si>
    <t>FRM253WJR005TM</t>
  </si>
  <si>
    <t>R12,R13,R24,R26,R29,R32,R37,R38,R39</t>
  </si>
  <si>
    <t>5k1</t>
  </si>
  <si>
    <t>C2907044</t>
  </si>
  <si>
    <t>FRC0603F5101TS</t>
  </si>
  <si>
    <t>R14,R15</t>
  </si>
  <si>
    <t>240k</t>
  </si>
  <si>
    <t>C2930036</t>
  </si>
  <si>
    <t>FRC0603J244TS</t>
  </si>
  <si>
    <t>R18,R23,R25</t>
  </si>
  <si>
    <t>100R</t>
  </si>
  <si>
    <t>C2076611</t>
  </si>
  <si>
    <t>CRCW0603100RJNEAC</t>
  </si>
  <si>
    <t>R20,R22,R27</t>
  </si>
  <si>
    <t>130k</t>
  </si>
  <si>
    <t>C2907099</t>
  </si>
  <si>
    <t>FRC0603J134 TS</t>
  </si>
  <si>
    <t>R21</t>
  </si>
  <si>
    <t>27k</t>
  </si>
  <si>
    <t>C2930084</t>
  </si>
  <si>
    <t>FRC0603F2702TS</t>
  </si>
  <si>
    <t>SW1,SW2</t>
  </si>
  <si>
    <t>SW_Omron_B3FS</t>
  </si>
  <si>
    <t>Button_Switch_SMD:SW_SPST_Omron_B3FS-100xP</t>
  </si>
  <si>
    <t>Omron B3FS 6x6mm single pole normally-open tactile switch</t>
  </si>
  <si>
    <t>C5594007</t>
  </si>
  <si>
    <t>B3FS-1050</t>
  </si>
  <si>
    <t>U1</t>
  </si>
  <si>
    <t>AD8629ARZ</t>
  </si>
  <si>
    <t>Dual Precision, Very Low Noise, Low Input Bias Current, Wide Bandwidth JFET Operational Amplifiers, SOIC-8</t>
  </si>
  <si>
    <t>C23487</t>
  </si>
  <si>
    <t>AD8629ARZ-REEL7</t>
  </si>
  <si>
    <t>U3</t>
  </si>
  <si>
    <t>AP63300WU-7</t>
  </si>
  <si>
    <t>Package_TO_SOT_SMD:TSOT-23-6</t>
  </si>
  <si>
    <t>2A, 500kHz Buck DC/DC Converter, adjustable output voltage, TSOT-23-6</t>
  </si>
  <si>
    <t>C2158012</t>
  </si>
  <si>
    <t>U4</t>
  </si>
  <si>
    <t>STUSB4500QTR</t>
  </si>
  <si>
    <t>Footprints:QFN-24-1EP_4x4mm_P0.5mm_EP2.65x2.65mm</t>
  </si>
  <si>
    <t>Stand-alone USB PD controller (with sink Auto-run mode), QFN-24</t>
  </si>
  <si>
    <t>C2678061</t>
  </si>
  <si>
    <t>U5</t>
  </si>
  <si>
    <t>MIC5219-3.3YM5</t>
  </si>
  <si>
    <t>500mA low dropout linear regulator, fixed 3.3V output, SOT-23-5</t>
  </si>
  <si>
    <t>C29613</t>
  </si>
  <si>
    <t>MIC5219-3.3YM5-TR</t>
  </si>
  <si>
    <t>U6</t>
  </si>
  <si>
    <t>OLED0.91_128x32_I2C</t>
  </si>
  <si>
    <t>Footprints:OLED_128x32_0.91</t>
  </si>
  <si>
    <t>0.91 128x32 SSD1306 chip I2C LCD, OLED, Graphic RoHS</t>
  </si>
  <si>
    <t>C5248081</t>
  </si>
  <si>
    <t>HS91L02W2C01</t>
  </si>
  <si>
    <t>U7</t>
  </si>
  <si>
    <t>STM32F103C8T6</t>
  </si>
  <si>
    <t>Package_QFP:LQFP-48_7x7mm_P0.5mm</t>
  </si>
  <si>
    <t>STMicroelectronics Arm Cortex-M3 MCU, 64KB flash, 20KB RAM, 72 MHz, 2.0-3.6V, 37 GPIO, LQFP48</t>
  </si>
  <si>
    <t>C8734</t>
  </si>
  <si>
    <t>U8</t>
  </si>
  <si>
    <t>MCP9700AT-ETT</t>
  </si>
  <si>
    <t>Low power, analog thermistor temperature sensor, ±2C accuracy, -40C to +125C, in SOT-23-3</t>
  </si>
  <si>
    <t>C127949</t>
  </si>
  <si>
    <t>MCP9700AT-E/TT</t>
  </si>
  <si>
    <t>Screw terminal (2 pin)</t>
  </si>
  <si>
    <t>DEGSON DG350-3.5-02P-14-00A(H)</t>
  </si>
  <si>
    <t>C2760668</t>
  </si>
  <si>
    <t>Screw terminal (3 pin)</t>
  </si>
  <si>
    <t>DEGSON DG350-3.5-03P-14-00A(H)</t>
  </si>
  <si>
    <t>C2760669</t>
  </si>
  <si>
    <t>Total for PCB components</t>
  </si>
  <si>
    <t>PCB</t>
  </si>
  <si>
    <t>Stencil</t>
  </si>
  <si>
    <t>Total for PCB fabrication</t>
  </si>
  <si>
    <t>XT60E-M connector</t>
  </si>
  <si>
    <t>C3040679</t>
  </si>
  <si>
    <t>XT60E-M.G.Y</t>
  </si>
  <si>
    <t>Handle connector pins</t>
  </si>
  <si>
    <t>C17283940</t>
  </si>
  <si>
    <t>1460-9-00-80-00-00-03-0</t>
  </si>
  <si>
    <t>Screws M2.5x6</t>
  </si>
  <si>
    <t>For sequring PCB and XT60 connector</t>
  </si>
  <si>
    <t>Screws M2.5x10</t>
  </si>
  <si>
    <t>For sequring enclosure lid and standby sense plate</t>
  </si>
  <si>
    <t>Nuts M2.5</t>
  </si>
  <si>
    <t>For sequring standby sense plate</t>
  </si>
  <si>
    <t>PCB standoffs L=16</t>
  </si>
  <si>
    <t>For sequring PCB and enclosure lid</t>
  </si>
  <si>
    <t>https://eu.mouser.com/en/ProductDetail/Wurth-Elektronik/971160151?qs=wr8lucFkNMUN4KgcbLc7mQ%3D%3D</t>
  </si>
  <si>
    <t>Threaded inserts for plastic M2.5</t>
  </si>
  <si>
    <t>Ring terminal M2.5</t>
  </si>
  <si>
    <t>For connecting standby sense wire to sense plate</t>
  </si>
  <si>
    <t>Button cups</t>
  </si>
  <si>
    <t>B32-1060</t>
  </si>
  <si>
    <t>C2733560</t>
  </si>
  <si>
    <t>Enclosure 3D print</t>
  </si>
  <si>
    <t>Total for others</t>
  </si>
  <si>
    <t>T245 handle</t>
  </si>
  <si>
    <t>https://www.aliexpress.com/item/1005006258420415.html?spm=a2g0o.productlist.main.2.112aa3aczCmb6E&amp;algo_pvid=7e640ae3-2d1e-46fb-b562-5e6ac90fe611&amp;pdp_ext_f=%7B%22order%22%3A%2239%22%2C%22eval%22%3A%221%22%2C%22fromPage%22%3A%22search%22%7D&amp;utparam-url=scene%3Asearch%7Cquery_from%3A%7Cx_object_id%3A1005006258420415%7C_p_origin_prod%3A</t>
  </si>
  <si>
    <t>C245 tip</t>
  </si>
  <si>
    <t>Total for handle+tip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</si>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</sst>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$#,##0.0000"/>
    <numFmt numFmtId="165" formatCode="#,##0.00;(#,##0.00)"/>
    <numFmt numFmtId="166" formatCode="&quot;$&quot;#,##0.00"/>
  </numFmts>
  <fonts count="8">
    <font>
      <sz val="10.0"/>
      <color rgb="FF000000"/>
      <name val="Roboto"/>
      <scheme val="minor"/>
    </font>
    <font>
      <b/>
      <color theme="1"/>
      <name val="Roboto"/>
      <scheme val="minor"/>
    </font>
    <font>
      <color theme="1"/>
      <name val="Roboto"/>
      <scheme val="minor"/>
    </font>
    <font>
      <u/>
      <color rgb="FF0000FF"/>
    </font>
    <font>
      <u/>
      <color rgb="FF0000FF"/>
    </font>
    <font>
      <u/>
      <color rgb="FF0000FF"/>
    </font>
    <font>
      <color theme="1"/>
      <name val="Roboto"/>
    </font>
    <font>
      <u/>
      <color rgb="FF1155CC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wrapText="0"/>
    </xf>
    <xf borderId="0" fillId="3" fontId="2" numFmtId="0" xfId="0" applyAlignment="1" applyFill="1" applyFont="1">
      <alignment readingOrder="0" shrinkToFit="0" vertical="center" wrapText="0"/>
    </xf>
    <xf borderId="0" fillId="3" fontId="2" numFmtId="0" xfId="0" applyAlignment="1" applyFill="1" applyFont="1">
      <alignment shrinkToFit="0" vertical="center" wrapText="0"/>
    </xf>
    <xf borderId="0" fillId="3" fontId="2" numFmtId="164" xfId="0" applyAlignment="1" applyFill="1" applyFont="1" applyNumberFormat="1">
      <alignment shrinkToFit="0" vertical="center" wrapText="0"/>
    </xf>
    <xf borderId="0" fillId="3" fontId="2" numFmtId="0" xfId="0" applyAlignment="1" applyFill="1" applyFont="1">
      <alignment readingOrder="0" shrinkToFit="0" vertical="center" wrapText="1"/>
    </xf>
    <xf borderId="0" fillId="3" fontId="2" numFmtId="0" xfId="0" applyAlignment="1" applyFill="1" applyFont="1">
      <alignment vertical="center"/>
    </xf>
    <xf borderId="0" fillId="3" fontId="2" numFmtId="0" xfId="0" applyAlignment="1" applyFill="1" applyFont="1">
      <alignment readingOrder="0" vertical="center"/>
    </xf>
    <xf borderId="0" fillId="3" fontId="4" numFmtId="0" xfId="0" applyAlignment="1" applyFill="1" applyFont="1">
      <alignment shrinkToFit="0" vertical="center" wrapText="0"/>
    </xf>
    <xf borderId="0" fillId="3" fontId="2" numFmtId="164" xfId="0" applyAlignment="1" applyFill="1" applyFont="1" applyNumberFormat="1">
      <alignment readingOrder="0" shrinkToFit="0" vertical="center" wrapText="0"/>
    </xf>
    <xf borderId="0" fillId="4" fontId="1" numFmtId="0" xfId="0" applyAlignment="1" applyFill="1" applyFont="1">
      <alignment readingOrder="0" vertical="center"/>
    </xf>
    <xf borderId="0" fillId="4" fontId="1" numFmtId="0" xfId="0" applyAlignment="1" applyFill="1" applyFont="1">
      <alignment vertical="center"/>
    </xf>
    <xf borderId="0" fillId="4" fontId="1" numFmtId="165" xfId="0" applyAlignment="1" applyFill="1" applyFont="1" applyNumberFormat="1">
      <alignment readingOrder="0" shrinkToFit="0" vertical="center" wrapText="1"/>
    </xf>
    <xf borderId="0" fillId="4" fontId="1" numFmtId="166" xfId="0" applyAlignment="1" applyFill="1" applyFont="1" applyNumberFormat="1">
      <alignment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horizontal="right" readingOrder="0" shrinkToFit="0" wrapText="0"/>
    </xf>
    <xf borderId="0" fillId="0" fontId="6" numFmtId="0" xfId="0" applyAlignment="1" applyFont="1">
      <alignment shrinkToFit="0" wrapText="0"/>
    </xf>
    <xf borderId="0" fillId="0" fontId="6" numFmtId="0" xfId="0" applyAlignment="1" applyFont="1">
      <alignment shrinkToFit="0" wrapText="0"/>
    </xf>
    <xf borderId="0" fillId="0" fontId="7" numFmtId="0" xfId="0" applyAlignment="1" applyFont="1">
      <alignment shrinkToFit="0" wrapText="0"/>
    </xf>
    <xf borderId="0" fillId="0" fontId="6" numFmtId="164" xfId="0" applyAlignment="1" applyFont="1" applyNumberFormat="1">
      <alignment horizontal="right" readingOrder="0" shrinkToFit="0" wrapText="0"/>
    </xf>
    <xf borderId="0" fillId="0" fontId="6" numFmtId="164" xfId="0" applyAlignment="1" applyFont="1" applyNumberFormat="1">
      <alignment horizontal="right" shrinkToFit="0" wrapText="0"/>
    </xf>
    <xf borderId="0" fillId="5" fontId="1" numFmtId="0" xfId="0" applyAlignment="1" applyFill="1" applyFont="1">
      <alignment readingOrder="0" vertical="center"/>
    </xf>
    <xf borderId="0" fillId="5" fontId="1" numFmtId="0" xfId="0" applyAlignment="1" applyFill="1" applyFont="1">
      <alignment vertical="center"/>
    </xf>
    <xf borderId="0" fillId="5" fontId="1" numFmtId="165" xfId="0" applyAlignment="1" applyFill="1" applyFont="1" applyNumberFormat="1">
      <alignment readingOrder="0" shrinkToFit="0" vertical="center" wrapText="1"/>
    </xf>
    <xf borderId="0" fillId="5" fontId="1" numFmtId="166" xfId="0" applyAlignment="1" applyFill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Roboto"/>
        <a:ea typeface="Roboto"/>
        <a:cs typeface="Roboto"/>
      </a:majorFont>
      <a:minorFont>
        <a:latin typeface="Roboto"/>
        <a:ea typeface="Roboto"/>
        <a:cs typeface="Robo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eu.mouser.com/en/ProductDetail/Wurth-Elektronik/971160151?qs=wr8lucFkNMUN4KgcbLc7mQ%3D%3D" TargetMode="External"/><Relationship Id="rId2" Type="http://schemas.openxmlformats.org/officeDocument/2006/relationships/hyperlink" Target="https://www.aliexpress.com/item/1005006258420415.html?spm=a2g0o.productlist.main.2.112aa3aczCmb6E&amp;algo_pvid=7e640ae3-2d1e-46fb-b562-5e6ac90fe611&amp;pdp_ext_f=%7B%22order%22%3A%2239%22%2C%22eval%22%3A%221%22%2C%22fromPage%22%3A%22search%22%7D&amp;utparam-url=scene%3Asearch%7Cquery_from%3A%7Cx_object_id%3A1005006258420415%7C_p_origin_prod%3A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63"/>
    <col customWidth="1" min="3" max="3" width="15.88"/>
    <col customWidth="1" min="4" max="4" width="17.63"/>
    <col customWidth="1" min="6" max="6" width="15.38"/>
    <col customWidth="1" min="7" max="7" width="22.25"/>
    <col customWidth="1" min="8" max="8" width="16.25"/>
    <col customWidth="1" min="9" max="9" width="15.88"/>
    <col customWidth="1" min="10" max="10" width="1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>
      <c r="A2" s="4" t="s">
        <v>10</v>
      </c>
      <c r="B2" s="4">
        <v>3.0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5" t="str">
        <f t="shared" ref="H2:H18" si="1">"https://www.lcsc.com/product-detail/"&amp;F2&amp;".html"</f>
        <v>https://www.lcsc.com/product-detail/C163508.html</v>
      </c>
      <c r="I2" s="6">
        <v>0.0127</v>
      </c>
      <c r="J2" s="7">
        <f t="shared" ref="J2:J47" si="2">B2*I2</f>
        <v>0.0381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>
      <c r="A3" s="4" t="s">
        <v>16</v>
      </c>
      <c r="B3" s="4">
        <v>2.0</v>
      </c>
      <c r="C3" s="4" t="s">
        <v>17</v>
      </c>
      <c r="D3" s="4" t="s">
        <v>18</v>
      </c>
      <c r="E3" s="4" t="s">
        <v>13</v>
      </c>
      <c r="F3" s="4" t="s">
        <v>19</v>
      </c>
      <c r="G3" s="4" t="s">
        <v>20</v>
      </c>
      <c r="H3" s="5" t="str">
        <f t="shared" si="1"/>
        <v>https://www.lcsc.com/product-detail/C105175.html</v>
      </c>
      <c r="I3" s="6">
        <v>0.4207</v>
      </c>
      <c r="J3" s="7">
        <f t="shared" si="2"/>
        <v>0.8414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>
      <c r="A4" s="4" t="s">
        <v>21</v>
      </c>
      <c r="B4" s="4">
        <v>1.0</v>
      </c>
      <c r="C4" s="4" t="s">
        <v>22</v>
      </c>
      <c r="D4" s="4" t="s">
        <v>23</v>
      </c>
      <c r="E4" s="4" t="s">
        <v>24</v>
      </c>
      <c r="F4" s="4" t="s">
        <v>25</v>
      </c>
      <c r="G4" s="4" t="s">
        <v>26</v>
      </c>
      <c r="H4" s="5" t="str">
        <f t="shared" si="1"/>
        <v>https://www.lcsc.com/product-detail/C278406.html</v>
      </c>
      <c r="I4" s="6">
        <v>0.4923</v>
      </c>
      <c r="J4" s="7">
        <f t="shared" si="2"/>
        <v>0.4923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>
      <c r="A5" s="8" t="s">
        <v>27</v>
      </c>
      <c r="B5" s="4">
        <v>10.0</v>
      </c>
      <c r="C5" s="4" t="s">
        <v>28</v>
      </c>
      <c r="D5" s="4" t="s">
        <v>12</v>
      </c>
      <c r="E5" s="4" t="s">
        <v>13</v>
      </c>
      <c r="F5" s="4" t="s">
        <v>29</v>
      </c>
      <c r="G5" s="4" t="s">
        <v>30</v>
      </c>
      <c r="H5" s="5" t="str">
        <f t="shared" si="1"/>
        <v>https://www.lcsc.com/product-detail/C346190.html</v>
      </c>
      <c r="I5" s="6">
        <v>0.0278</v>
      </c>
      <c r="J5" s="7">
        <f t="shared" si="2"/>
        <v>0.278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>
      <c r="A6" s="4" t="s">
        <v>31</v>
      </c>
      <c r="B6" s="4">
        <v>7.0</v>
      </c>
      <c r="C6" s="4" t="s">
        <v>32</v>
      </c>
      <c r="D6" s="4" t="s">
        <v>12</v>
      </c>
      <c r="E6" s="4" t="s">
        <v>13</v>
      </c>
      <c r="F6" s="4" t="s">
        <v>33</v>
      </c>
      <c r="G6" s="4" t="s">
        <v>34</v>
      </c>
      <c r="H6" s="5" t="str">
        <f t="shared" si="1"/>
        <v>https://www.lcsc.com/product-detail/C85862.html</v>
      </c>
      <c r="I6" s="6">
        <v>0.0893</v>
      </c>
      <c r="J6" s="7">
        <f t="shared" si="2"/>
        <v>0.6251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>
      <c r="A7" s="4" t="s">
        <v>35</v>
      </c>
      <c r="B7" s="4">
        <v>2.0</v>
      </c>
      <c r="C7" s="4" t="s">
        <v>36</v>
      </c>
      <c r="D7" s="4" t="s">
        <v>12</v>
      </c>
      <c r="E7" s="4" t="s">
        <v>13</v>
      </c>
      <c r="F7" s="4" t="s">
        <v>37</v>
      </c>
      <c r="G7" s="4" t="s">
        <v>38</v>
      </c>
      <c r="H7" s="5" t="str">
        <f t="shared" si="1"/>
        <v>https://www.lcsc.com/product-detail/C2762594.html</v>
      </c>
      <c r="I7" s="6">
        <v>0.1292</v>
      </c>
      <c r="J7" s="7">
        <f t="shared" si="2"/>
        <v>0.2584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>
      <c r="A8" s="4" t="s">
        <v>39</v>
      </c>
      <c r="B8" s="4">
        <v>1.0</v>
      </c>
      <c r="C8" s="4" t="s">
        <v>40</v>
      </c>
      <c r="D8" s="4" t="s">
        <v>41</v>
      </c>
      <c r="E8" s="4" t="s">
        <v>42</v>
      </c>
      <c r="F8" s="4" t="s">
        <v>43</v>
      </c>
      <c r="G8" s="4" t="s">
        <v>44</v>
      </c>
      <c r="H8" s="5" t="str">
        <f t="shared" si="1"/>
        <v>https://www.lcsc.com/product-detail/C7187.html</v>
      </c>
      <c r="I8" s="6">
        <v>0.2206</v>
      </c>
      <c r="J8" s="7">
        <f t="shared" si="2"/>
        <v>0.2206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>
      <c r="A9" s="4" t="s">
        <v>45</v>
      </c>
      <c r="B9" s="4">
        <v>2.0</v>
      </c>
      <c r="C9" s="4" t="s">
        <v>46</v>
      </c>
      <c r="D9" s="4" t="s">
        <v>47</v>
      </c>
      <c r="E9" s="4" t="s">
        <v>48</v>
      </c>
      <c r="F9" s="4" t="s">
        <v>49</v>
      </c>
      <c r="G9" s="4" t="s">
        <v>46</v>
      </c>
      <c r="H9" s="5" t="str">
        <f t="shared" si="1"/>
        <v>https://www.lcsc.com/product-detail/C40919.html</v>
      </c>
      <c r="I9" s="6">
        <v>0.066</v>
      </c>
      <c r="J9" s="7">
        <f t="shared" si="2"/>
        <v>0.132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>
      <c r="A10" s="4" t="s">
        <v>50</v>
      </c>
      <c r="B10" s="4">
        <v>1.0</v>
      </c>
      <c r="C10" s="4" t="s">
        <v>51</v>
      </c>
      <c r="D10" s="4" t="s">
        <v>52</v>
      </c>
      <c r="E10" s="4" t="s">
        <v>53</v>
      </c>
      <c r="F10" s="4" t="s">
        <v>54</v>
      </c>
      <c r="G10" s="4" t="s">
        <v>51</v>
      </c>
      <c r="H10" s="5" t="str">
        <f t="shared" si="1"/>
        <v>https://www.lcsc.com/product-detail/C2935146.html</v>
      </c>
      <c r="I10" s="6">
        <v>0.289</v>
      </c>
      <c r="J10" s="7">
        <f t="shared" si="2"/>
        <v>0.289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>
      <c r="A11" s="4" t="s">
        <v>55</v>
      </c>
      <c r="B11" s="4">
        <v>2.0</v>
      </c>
      <c r="C11" s="4" t="s">
        <v>56</v>
      </c>
      <c r="D11" s="4" t="s">
        <v>57</v>
      </c>
      <c r="E11" s="9"/>
      <c r="F11" s="4" t="s">
        <v>58</v>
      </c>
      <c r="G11" s="4" t="s">
        <v>56</v>
      </c>
      <c r="H11" s="5" t="str">
        <f t="shared" si="1"/>
        <v>https://www.lcsc.com/product-detail/C148223.html</v>
      </c>
      <c r="I11" s="6">
        <v>0.1069</v>
      </c>
      <c r="J11" s="7">
        <f t="shared" si="2"/>
        <v>0.2138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>
      <c r="A12" s="4" t="s">
        <v>59</v>
      </c>
      <c r="B12" s="4">
        <v>1.0</v>
      </c>
      <c r="C12" s="4" t="s">
        <v>60</v>
      </c>
      <c r="D12" s="4" t="s">
        <v>61</v>
      </c>
      <c r="E12" s="4" t="s">
        <v>62</v>
      </c>
      <c r="F12" s="4" t="s">
        <v>63</v>
      </c>
      <c r="G12" s="4" t="s">
        <v>64</v>
      </c>
      <c r="H12" s="5" t="str">
        <f t="shared" si="1"/>
        <v>https://www.lcsc.com/product-detail/C53113897.html</v>
      </c>
      <c r="I12" s="6">
        <v>0.0469</v>
      </c>
      <c r="J12" s="7">
        <f t="shared" si="2"/>
        <v>0.0469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>
      <c r="A13" s="4" t="s">
        <v>65</v>
      </c>
      <c r="B13" s="4">
        <v>2.0</v>
      </c>
      <c r="C13" s="4" t="s">
        <v>66</v>
      </c>
      <c r="D13" s="4" t="s">
        <v>67</v>
      </c>
      <c r="E13" s="4" t="s">
        <v>68</v>
      </c>
      <c r="F13" s="4" t="s">
        <v>69</v>
      </c>
      <c r="G13" s="4" t="s">
        <v>70</v>
      </c>
      <c r="H13" s="5" t="str">
        <f t="shared" si="1"/>
        <v>https://www.lcsc.com/product-detail/C78606.html</v>
      </c>
      <c r="I13" s="6">
        <v>0.0535</v>
      </c>
      <c r="J13" s="7">
        <f t="shared" si="2"/>
        <v>0.107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>
      <c r="A14" s="4" t="s">
        <v>71</v>
      </c>
      <c r="B14" s="4">
        <v>1.0</v>
      </c>
      <c r="C14" s="4" t="s">
        <v>72</v>
      </c>
      <c r="D14" s="4" t="s">
        <v>73</v>
      </c>
      <c r="E14" s="4" t="s">
        <v>74</v>
      </c>
      <c r="F14" s="4" t="s">
        <v>75</v>
      </c>
      <c r="G14" s="4" t="s">
        <v>72</v>
      </c>
      <c r="H14" s="5" t="str">
        <f t="shared" si="1"/>
        <v>https://www.lcsc.com/product-detail/C426807.html</v>
      </c>
      <c r="I14" s="6">
        <v>0.0979</v>
      </c>
      <c r="J14" s="7">
        <f t="shared" si="2"/>
        <v>0.0979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>
      <c r="A15" s="10" t="s">
        <v>76</v>
      </c>
      <c r="B15" s="4">
        <v>2.0</v>
      </c>
      <c r="C15" s="10" t="s">
        <v>77</v>
      </c>
      <c r="D15" s="10" t="s">
        <v>78</v>
      </c>
      <c r="E15" s="4"/>
      <c r="F15" s="10" t="s">
        <v>79</v>
      </c>
      <c r="G15" s="10" t="s">
        <v>77</v>
      </c>
      <c r="H15" s="5" t="str">
        <f t="shared" si="1"/>
        <v>https://www.lcsc.com/product-detail/C119617.html</v>
      </c>
      <c r="I15" s="6">
        <v>0.6677</v>
      </c>
      <c r="J15" s="7">
        <f t="shared" si="2"/>
        <v>1.3354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>
      <c r="A16" s="10" t="s">
        <v>80</v>
      </c>
      <c r="B16" s="4">
        <v>1.0</v>
      </c>
      <c r="C16" s="10" t="s">
        <v>81</v>
      </c>
      <c r="D16" s="10" t="s">
        <v>82</v>
      </c>
      <c r="E16" s="4"/>
      <c r="F16" s="8" t="s">
        <v>83</v>
      </c>
      <c r="G16" s="8" t="s">
        <v>84</v>
      </c>
      <c r="H16" s="5" t="str">
        <f t="shared" si="1"/>
        <v>https://www.lcsc.com/product-detail/C52917434.html</v>
      </c>
      <c r="I16" s="6">
        <v>0.0916</v>
      </c>
      <c r="J16" s="7">
        <f t="shared" si="2"/>
        <v>0.0916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>
      <c r="A17" s="4" t="s">
        <v>85</v>
      </c>
      <c r="B17" s="4">
        <v>1.0</v>
      </c>
      <c r="C17" s="4" t="s">
        <v>86</v>
      </c>
      <c r="D17" s="4" t="s">
        <v>87</v>
      </c>
      <c r="E17" s="4" t="s">
        <v>88</v>
      </c>
      <c r="F17" s="4" t="s">
        <v>89</v>
      </c>
      <c r="G17" s="4" t="s">
        <v>90</v>
      </c>
      <c r="H17" s="5" t="str">
        <f t="shared" si="1"/>
        <v>https://www.lcsc.com/product-detail/C206918.html</v>
      </c>
      <c r="I17" s="6">
        <v>1.9183</v>
      </c>
      <c r="J17" s="7">
        <f t="shared" si="2"/>
        <v>1.9183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>
      <c r="A18" s="4" t="s">
        <v>91</v>
      </c>
      <c r="B18" s="4">
        <v>1.0</v>
      </c>
      <c r="C18" s="4" t="s">
        <v>92</v>
      </c>
      <c r="D18" s="4" t="s">
        <v>93</v>
      </c>
      <c r="E18" s="4" t="s">
        <v>94</v>
      </c>
      <c r="F18" s="4" t="s">
        <v>95</v>
      </c>
      <c r="G18" s="4" t="s">
        <v>92</v>
      </c>
      <c r="H18" s="5" t="str">
        <f t="shared" si="1"/>
        <v>https://www.lcsc.com/product-detail/C113010.html</v>
      </c>
      <c r="I18" s="6">
        <v>0.0139</v>
      </c>
      <c r="J18" s="7">
        <f t="shared" si="2"/>
        <v>0.0139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>
      <c r="A19" s="11" t="s">
        <v>96</v>
      </c>
      <c r="B19" s="11">
        <v>1.0</v>
      </c>
      <c r="C19" s="11" t="s">
        <v>97</v>
      </c>
      <c r="D19" s="11" t="s">
        <v>98</v>
      </c>
      <c r="E19" s="11" t="s">
        <v>99</v>
      </c>
      <c r="F19" s="12"/>
      <c r="G19" s="12"/>
      <c r="H19" s="12"/>
      <c r="I19" s="13"/>
      <c r="J19" s="13">
        <f t="shared" si="2"/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>
      <c r="A20" s="4" t="s">
        <v>100</v>
      </c>
      <c r="B20" s="4">
        <v>1.0</v>
      </c>
      <c r="C20" s="4" t="s">
        <v>101</v>
      </c>
      <c r="D20" s="4" t="s">
        <v>102</v>
      </c>
      <c r="E20" s="4" t="s">
        <v>103</v>
      </c>
      <c r="F20" s="4" t="s">
        <v>104</v>
      </c>
      <c r="G20" s="4" t="s">
        <v>101</v>
      </c>
      <c r="H20" s="5" t="str">
        <f t="shared" ref="H20:H47" si="3">"https://www.lcsc.com/product-detail/"&amp;F20&amp;".html"</f>
        <v>https://www.lcsc.com/product-detail/C3025063.html</v>
      </c>
      <c r="I20" s="6">
        <v>1.1952</v>
      </c>
      <c r="J20" s="7">
        <f t="shared" si="2"/>
        <v>1.1952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>
      <c r="A21" s="4" t="s">
        <v>105</v>
      </c>
      <c r="B21" s="4">
        <v>2.0</v>
      </c>
      <c r="C21" s="4" t="s">
        <v>106</v>
      </c>
      <c r="D21" s="4" t="s">
        <v>107</v>
      </c>
      <c r="E21" s="4" t="s">
        <v>108</v>
      </c>
      <c r="F21" s="4" t="s">
        <v>109</v>
      </c>
      <c r="G21" s="4" t="s">
        <v>110</v>
      </c>
      <c r="H21" s="5" t="str">
        <f t="shared" si="3"/>
        <v>https://www.lcsc.com/product-detail/C7501259.html</v>
      </c>
      <c r="I21" s="6">
        <v>0.0146</v>
      </c>
      <c r="J21" s="7">
        <f t="shared" si="2"/>
        <v>0.0292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>
      <c r="A22" s="4" t="s">
        <v>111</v>
      </c>
      <c r="B22" s="4">
        <v>1.0</v>
      </c>
      <c r="C22" s="4" t="s">
        <v>112</v>
      </c>
      <c r="D22" s="4" t="s">
        <v>113</v>
      </c>
      <c r="E22" s="4" t="s">
        <v>114</v>
      </c>
      <c r="F22" s="4" t="s">
        <v>115</v>
      </c>
      <c r="G22" s="4" t="s">
        <v>116</v>
      </c>
      <c r="H22" s="5" t="str">
        <f t="shared" si="3"/>
        <v>https://www.lcsc.com/product-detail/C7171947.html</v>
      </c>
      <c r="I22" s="6">
        <v>0.8446</v>
      </c>
      <c r="J22" s="7">
        <f t="shared" si="2"/>
        <v>0.8446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>
      <c r="A23" s="4" t="s">
        <v>117</v>
      </c>
      <c r="B23" s="4">
        <v>1.0</v>
      </c>
      <c r="C23" s="4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5" t="str">
        <f t="shared" si="3"/>
        <v>https://www.lcsc.com/product-detail/C706600.html</v>
      </c>
      <c r="I23" s="6">
        <v>0.1268</v>
      </c>
      <c r="J23" s="7">
        <f t="shared" si="2"/>
        <v>0.1268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>
      <c r="A24" s="4" t="s">
        <v>123</v>
      </c>
      <c r="B24" s="4">
        <v>2.0</v>
      </c>
      <c r="C24" s="4" t="s">
        <v>124</v>
      </c>
      <c r="D24" s="4" t="s">
        <v>125</v>
      </c>
      <c r="E24" s="4" t="s">
        <v>126</v>
      </c>
      <c r="F24" s="4" t="s">
        <v>127</v>
      </c>
      <c r="G24" s="4" t="s">
        <v>128</v>
      </c>
      <c r="H24" s="5" t="str">
        <f t="shared" si="3"/>
        <v>https://www.lcsc.com/product-detail/C3000.html</v>
      </c>
      <c r="I24" s="6">
        <v>0.4558</v>
      </c>
      <c r="J24" s="7">
        <f t="shared" si="2"/>
        <v>0.9116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>
      <c r="A25" s="4" t="s">
        <v>129</v>
      </c>
      <c r="B25" s="4">
        <v>2.0</v>
      </c>
      <c r="C25" s="4" t="s">
        <v>130</v>
      </c>
      <c r="D25" s="4" t="s">
        <v>47</v>
      </c>
      <c r="E25" s="4" t="s">
        <v>131</v>
      </c>
      <c r="F25" s="4" t="s">
        <v>132</v>
      </c>
      <c r="G25" s="4" t="s">
        <v>130</v>
      </c>
      <c r="H25" s="5" t="str">
        <f t="shared" si="3"/>
        <v>https://www.lcsc.com/product-detail/C258201.html</v>
      </c>
      <c r="I25" s="6">
        <v>0.2776</v>
      </c>
      <c r="J25" s="7">
        <f t="shared" si="2"/>
        <v>0.5552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>
      <c r="A26" s="8" t="s">
        <v>133</v>
      </c>
      <c r="B26" s="4">
        <v>7.0</v>
      </c>
      <c r="C26" s="4" t="s">
        <v>134</v>
      </c>
      <c r="D26" s="4" t="s">
        <v>135</v>
      </c>
      <c r="E26" s="4" t="s">
        <v>136</v>
      </c>
      <c r="F26" s="4" t="s">
        <v>137</v>
      </c>
      <c r="G26" s="4" t="s">
        <v>138</v>
      </c>
      <c r="H26" s="5" t="str">
        <f t="shared" si="3"/>
        <v>https://www.lcsc.com/product-detail/C2930050.html</v>
      </c>
      <c r="I26" s="6">
        <v>0.0027</v>
      </c>
      <c r="J26" s="7">
        <f t="shared" si="2"/>
        <v>0.0189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>
      <c r="A27" s="4" t="s">
        <v>139</v>
      </c>
      <c r="B27" s="4">
        <v>1.0</v>
      </c>
      <c r="C27" s="4" t="s">
        <v>140</v>
      </c>
      <c r="D27" s="4" t="s">
        <v>135</v>
      </c>
      <c r="E27" s="4" t="s">
        <v>136</v>
      </c>
      <c r="F27" s="4" t="s">
        <v>141</v>
      </c>
      <c r="G27" s="4" t="s">
        <v>142</v>
      </c>
      <c r="H27" s="5" t="str">
        <f t="shared" si="3"/>
        <v>https://www.lcsc.com/product-detail/C2907003.html</v>
      </c>
      <c r="I27" s="6">
        <v>0.0027</v>
      </c>
      <c r="J27" s="7">
        <f t="shared" si="2"/>
        <v>0.0027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>
      <c r="A28" s="4" t="s">
        <v>143</v>
      </c>
      <c r="B28" s="4">
        <v>2.0</v>
      </c>
      <c r="C28" s="4" t="s">
        <v>144</v>
      </c>
      <c r="D28" s="4" t="s">
        <v>135</v>
      </c>
      <c r="E28" s="4" t="s">
        <v>136</v>
      </c>
      <c r="F28" s="4" t="s">
        <v>145</v>
      </c>
      <c r="G28" s="4" t="s">
        <v>146</v>
      </c>
      <c r="H28" s="5" t="str">
        <f t="shared" si="3"/>
        <v>https://www.lcsc.com/product-detail/C2907158.html</v>
      </c>
      <c r="I28" s="6">
        <v>0.0022</v>
      </c>
      <c r="J28" s="7">
        <f t="shared" si="2"/>
        <v>0.0044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>
      <c r="A29" s="4" t="s">
        <v>147</v>
      </c>
      <c r="B29" s="4">
        <v>2.0</v>
      </c>
      <c r="C29" s="4" t="s">
        <v>148</v>
      </c>
      <c r="D29" s="4" t="s">
        <v>135</v>
      </c>
      <c r="E29" s="4" t="s">
        <v>136</v>
      </c>
      <c r="F29" s="4" t="s">
        <v>149</v>
      </c>
      <c r="G29" s="4" t="s">
        <v>150</v>
      </c>
      <c r="H29" s="5" t="str">
        <f t="shared" si="3"/>
        <v>https://www.lcsc.com/product-detail/C2907091.html</v>
      </c>
      <c r="I29" s="6">
        <v>0.0027</v>
      </c>
      <c r="J29" s="7">
        <f t="shared" si="2"/>
        <v>0.0054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>
      <c r="A30" s="4" t="s">
        <v>151</v>
      </c>
      <c r="B30" s="4">
        <v>3.0</v>
      </c>
      <c r="C30" s="4" t="s">
        <v>152</v>
      </c>
      <c r="D30" s="4" t="s">
        <v>135</v>
      </c>
      <c r="E30" s="4" t="s">
        <v>136</v>
      </c>
      <c r="F30" s="4" t="s">
        <v>153</v>
      </c>
      <c r="G30" s="4" t="s">
        <v>154</v>
      </c>
      <c r="H30" s="5" t="str">
        <f t="shared" si="3"/>
        <v>https://www.lcsc.com/product-detail/C4134045.html</v>
      </c>
      <c r="I30" s="6">
        <v>0.0476</v>
      </c>
      <c r="J30" s="7">
        <f t="shared" si="2"/>
        <v>0.1428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>
      <c r="A31" s="8" t="s">
        <v>155</v>
      </c>
      <c r="B31" s="4">
        <v>3.0</v>
      </c>
      <c r="C31" s="4" t="s">
        <v>156</v>
      </c>
      <c r="D31" s="4" t="s">
        <v>135</v>
      </c>
      <c r="E31" s="4" t="s">
        <v>136</v>
      </c>
      <c r="F31" s="4" t="s">
        <v>157</v>
      </c>
      <c r="G31" s="4" t="s">
        <v>158</v>
      </c>
      <c r="H31" s="5" t="str">
        <f t="shared" si="3"/>
        <v>https://www.lcsc.com/product-detail/C2907011.html</v>
      </c>
      <c r="I31" s="6">
        <v>0.0027</v>
      </c>
      <c r="J31" s="7">
        <f t="shared" si="2"/>
        <v>0.0081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>
      <c r="A32" s="4" t="s">
        <v>159</v>
      </c>
      <c r="B32" s="4">
        <v>1.0</v>
      </c>
      <c r="C32" s="4" t="s">
        <v>160</v>
      </c>
      <c r="D32" s="4" t="s">
        <v>161</v>
      </c>
      <c r="E32" s="4" t="s">
        <v>136</v>
      </c>
      <c r="F32" s="4" t="s">
        <v>162</v>
      </c>
      <c r="G32" s="4" t="s">
        <v>163</v>
      </c>
      <c r="H32" s="5" t="str">
        <f t="shared" si="3"/>
        <v>https://www.lcsc.com/product-detail/C48533600.html</v>
      </c>
      <c r="I32" s="6">
        <v>0.0335</v>
      </c>
      <c r="J32" s="7">
        <f t="shared" si="2"/>
        <v>0.0335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>
      <c r="A33" s="4" t="s">
        <v>164</v>
      </c>
      <c r="B33" s="4">
        <v>9.0</v>
      </c>
      <c r="C33" s="4" t="s">
        <v>165</v>
      </c>
      <c r="D33" s="4" t="s">
        <v>135</v>
      </c>
      <c r="E33" s="4" t="s">
        <v>136</v>
      </c>
      <c r="F33" s="4" t="s">
        <v>166</v>
      </c>
      <c r="G33" s="4" t="s">
        <v>167</v>
      </c>
      <c r="H33" s="5" t="str">
        <f t="shared" si="3"/>
        <v>https://www.lcsc.com/product-detail/C2907044.html</v>
      </c>
      <c r="I33" s="6">
        <v>0.0028</v>
      </c>
      <c r="J33" s="7">
        <f t="shared" si="2"/>
        <v>0.0252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>
      <c r="A34" s="4" t="s">
        <v>168</v>
      </c>
      <c r="B34" s="4">
        <v>2.0</v>
      </c>
      <c r="C34" s="4" t="s">
        <v>169</v>
      </c>
      <c r="D34" s="4" t="s">
        <v>135</v>
      </c>
      <c r="E34" s="4" t="s">
        <v>136</v>
      </c>
      <c r="F34" s="4" t="s">
        <v>170</v>
      </c>
      <c r="G34" s="4" t="s">
        <v>171</v>
      </c>
      <c r="H34" s="5" t="str">
        <f t="shared" si="3"/>
        <v>https://www.lcsc.com/product-detail/C2930036.html</v>
      </c>
      <c r="I34" s="6">
        <v>0.0023</v>
      </c>
      <c r="J34" s="7">
        <f t="shared" si="2"/>
        <v>0.0046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>
      <c r="A35" s="4" t="s">
        <v>172</v>
      </c>
      <c r="B35" s="4">
        <v>3.0</v>
      </c>
      <c r="C35" s="4" t="s">
        <v>173</v>
      </c>
      <c r="D35" s="4" t="s">
        <v>135</v>
      </c>
      <c r="E35" s="4" t="s">
        <v>136</v>
      </c>
      <c r="F35" s="4" t="s">
        <v>174</v>
      </c>
      <c r="G35" s="4" t="s">
        <v>175</v>
      </c>
      <c r="H35" s="5" t="str">
        <f t="shared" si="3"/>
        <v>https://www.lcsc.com/product-detail/C2076611.html</v>
      </c>
      <c r="I35" s="6">
        <v>0.0156</v>
      </c>
      <c r="J35" s="7">
        <f t="shared" si="2"/>
        <v>0.0468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>
      <c r="A36" s="4" t="s">
        <v>176</v>
      </c>
      <c r="B36" s="4">
        <v>3.0</v>
      </c>
      <c r="C36" s="4" t="s">
        <v>177</v>
      </c>
      <c r="D36" s="4" t="s">
        <v>135</v>
      </c>
      <c r="E36" s="4" t="s">
        <v>136</v>
      </c>
      <c r="F36" s="4" t="s">
        <v>178</v>
      </c>
      <c r="G36" s="4" t="s">
        <v>179</v>
      </c>
      <c r="H36" s="5" t="str">
        <f t="shared" si="3"/>
        <v>https://www.lcsc.com/product-detail/C2907099.html</v>
      </c>
      <c r="I36" s="6">
        <v>0.0024</v>
      </c>
      <c r="J36" s="7">
        <f t="shared" si="2"/>
        <v>0.0072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>
      <c r="A37" s="4" t="s">
        <v>180</v>
      </c>
      <c r="B37" s="4">
        <v>1.0</v>
      </c>
      <c r="C37" s="4" t="s">
        <v>181</v>
      </c>
      <c r="D37" s="4" t="s">
        <v>135</v>
      </c>
      <c r="E37" s="4" t="s">
        <v>136</v>
      </c>
      <c r="F37" s="4" t="s">
        <v>182</v>
      </c>
      <c r="G37" s="4" t="s">
        <v>183</v>
      </c>
      <c r="H37" s="5" t="str">
        <f t="shared" si="3"/>
        <v>https://www.lcsc.com/product-detail/C2930084.html</v>
      </c>
      <c r="I37" s="6">
        <v>0.0028</v>
      </c>
      <c r="J37" s="7">
        <f t="shared" si="2"/>
        <v>0.0028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>
      <c r="A38" s="4" t="s">
        <v>184</v>
      </c>
      <c r="B38" s="4">
        <v>2.0</v>
      </c>
      <c r="C38" s="4" t="s">
        <v>185</v>
      </c>
      <c r="D38" s="4" t="s">
        <v>186</v>
      </c>
      <c r="E38" s="4" t="s">
        <v>187</v>
      </c>
      <c r="F38" s="4" t="s">
        <v>188</v>
      </c>
      <c r="G38" s="4" t="s">
        <v>189</v>
      </c>
      <c r="H38" s="5" t="str">
        <f t="shared" si="3"/>
        <v>https://www.lcsc.com/product-detail/C5594007.html</v>
      </c>
      <c r="I38" s="6">
        <v>1.2121</v>
      </c>
      <c r="J38" s="7">
        <f t="shared" si="2"/>
        <v>2.4242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>
      <c r="A39" s="4" t="s">
        <v>190</v>
      </c>
      <c r="B39" s="4">
        <v>1.0</v>
      </c>
      <c r="C39" s="4" t="s">
        <v>191</v>
      </c>
      <c r="D39" s="4" t="s">
        <v>125</v>
      </c>
      <c r="E39" s="4" t="s">
        <v>192</v>
      </c>
      <c r="F39" s="4" t="s">
        <v>193</v>
      </c>
      <c r="G39" s="4" t="s">
        <v>194</v>
      </c>
      <c r="H39" s="5" t="str">
        <f t="shared" si="3"/>
        <v>https://www.lcsc.com/product-detail/C23487.html</v>
      </c>
      <c r="I39" s="6">
        <v>4.9347</v>
      </c>
      <c r="J39" s="7">
        <f t="shared" si="2"/>
        <v>4.9347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>
      <c r="A40" s="4" t="s">
        <v>195</v>
      </c>
      <c r="B40" s="4">
        <v>1.0</v>
      </c>
      <c r="C40" s="4" t="s">
        <v>196</v>
      </c>
      <c r="D40" s="4" t="s">
        <v>197</v>
      </c>
      <c r="E40" s="4" t="s">
        <v>198</v>
      </c>
      <c r="F40" s="4" t="s">
        <v>199</v>
      </c>
      <c r="G40" s="4" t="s">
        <v>196</v>
      </c>
      <c r="H40" s="5" t="str">
        <f t="shared" si="3"/>
        <v>https://www.lcsc.com/product-detail/C2158012.html</v>
      </c>
      <c r="I40" s="6">
        <v>0.658</v>
      </c>
      <c r="J40" s="7">
        <f t="shared" si="2"/>
        <v>0.658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>
      <c r="A41" s="4" t="s">
        <v>200</v>
      </c>
      <c r="B41" s="4">
        <v>1.0</v>
      </c>
      <c r="C41" s="4" t="s">
        <v>201</v>
      </c>
      <c r="D41" s="4" t="s">
        <v>202</v>
      </c>
      <c r="E41" s="4" t="s">
        <v>203</v>
      </c>
      <c r="F41" s="4" t="s">
        <v>204</v>
      </c>
      <c r="G41" s="4" t="s">
        <v>201</v>
      </c>
      <c r="H41" s="5" t="str">
        <f t="shared" si="3"/>
        <v>https://www.lcsc.com/product-detail/C2678061.html</v>
      </c>
      <c r="I41" s="6">
        <v>2.1956</v>
      </c>
      <c r="J41" s="7">
        <f t="shared" si="2"/>
        <v>2.1956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>
      <c r="A42" s="4" t="s">
        <v>205</v>
      </c>
      <c r="B42" s="4">
        <v>1.0</v>
      </c>
      <c r="C42" s="4" t="s">
        <v>206</v>
      </c>
      <c r="D42" s="4" t="s">
        <v>52</v>
      </c>
      <c r="E42" s="4" t="s">
        <v>207</v>
      </c>
      <c r="F42" s="4" t="s">
        <v>208</v>
      </c>
      <c r="G42" s="4" t="s">
        <v>209</v>
      </c>
      <c r="H42" s="5" t="str">
        <f t="shared" si="3"/>
        <v>https://www.lcsc.com/product-detail/C29613.html</v>
      </c>
      <c r="I42" s="6">
        <v>0.5892</v>
      </c>
      <c r="J42" s="7">
        <f t="shared" si="2"/>
        <v>0.5892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>
      <c r="A43" s="4" t="s">
        <v>210</v>
      </c>
      <c r="B43" s="4">
        <v>1.0</v>
      </c>
      <c r="C43" s="4" t="s">
        <v>211</v>
      </c>
      <c r="D43" s="4" t="s">
        <v>212</v>
      </c>
      <c r="E43" s="4" t="s">
        <v>213</v>
      </c>
      <c r="F43" s="4" t="s">
        <v>214</v>
      </c>
      <c r="G43" s="4" t="s">
        <v>215</v>
      </c>
      <c r="H43" s="5" t="str">
        <f t="shared" si="3"/>
        <v>https://www.lcsc.com/product-detail/C5248081.html</v>
      </c>
      <c r="I43" s="6">
        <v>2.2378</v>
      </c>
      <c r="J43" s="7">
        <f t="shared" si="2"/>
        <v>2.2378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>
      <c r="A44" s="4" t="s">
        <v>216</v>
      </c>
      <c r="B44" s="4">
        <v>1.0</v>
      </c>
      <c r="C44" s="4" t="s">
        <v>217</v>
      </c>
      <c r="D44" s="4" t="s">
        <v>218</v>
      </c>
      <c r="E44" s="4" t="s">
        <v>219</v>
      </c>
      <c r="F44" s="4" t="s">
        <v>220</v>
      </c>
      <c r="G44" s="4" t="s">
        <v>217</v>
      </c>
      <c r="H44" s="5" t="str">
        <f t="shared" si="3"/>
        <v>https://www.lcsc.com/product-detail/C8734.html</v>
      </c>
      <c r="I44" s="6">
        <v>2.0073</v>
      </c>
      <c r="J44" s="7">
        <f t="shared" si="2"/>
        <v>2.0073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>
      <c r="A45" s="4" t="s">
        <v>221</v>
      </c>
      <c r="B45" s="4">
        <v>1.0</v>
      </c>
      <c r="C45" s="4" t="s">
        <v>222</v>
      </c>
      <c r="D45" s="4" t="s">
        <v>47</v>
      </c>
      <c r="E45" s="4" t="s">
        <v>223</v>
      </c>
      <c r="F45" s="4" t="s">
        <v>224</v>
      </c>
      <c r="G45" s="4" t="s">
        <v>225</v>
      </c>
      <c r="H45" s="5" t="str">
        <f t="shared" si="3"/>
        <v>https://www.lcsc.com/product-detail/C127949.html</v>
      </c>
      <c r="I45" s="6">
        <v>0.446</v>
      </c>
      <c r="J45" s="7">
        <f t="shared" si="2"/>
        <v>0.446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>
      <c r="A46" s="14" t="s">
        <v>226</v>
      </c>
      <c r="B46" s="14">
        <v>2.0</v>
      </c>
      <c r="C46" s="14" t="s">
        <v>227</v>
      </c>
      <c r="D46" s="15"/>
      <c r="E46" s="15"/>
      <c r="F46" s="16" t="s">
        <v>228</v>
      </c>
      <c r="G46" s="15"/>
      <c r="H46" s="17" t="str">
        <f t="shared" si="3"/>
        <v>https://www.lcsc.com/product-detail/C2760668.html</v>
      </c>
      <c r="I46" s="18">
        <v>0.1706</v>
      </c>
      <c r="J46" s="13">
        <f t="shared" si="2"/>
        <v>0.3412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>
      <c r="A47" s="14" t="s">
        <v>229</v>
      </c>
      <c r="B47" s="14">
        <v>1.0</v>
      </c>
      <c r="C47" s="14" t="s">
        <v>230</v>
      </c>
      <c r="D47" s="15"/>
      <c r="E47" s="15"/>
      <c r="F47" s="16" t="s">
        <v>231</v>
      </c>
      <c r="G47" s="15"/>
      <c r="H47" s="17" t="str">
        <f t="shared" si="3"/>
        <v>https://www.lcsc.com/product-detail/C2760669.html</v>
      </c>
      <c r="I47" s="18">
        <v>0.1899</v>
      </c>
      <c r="J47" s="13">
        <f t="shared" si="2"/>
        <v>0.1899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>
      <c r="A48" s="19"/>
      <c r="B48" s="20"/>
      <c r="C48" s="20"/>
      <c r="D48" s="20"/>
      <c r="E48" s="20"/>
      <c r="F48" s="20"/>
      <c r="G48" s="20"/>
      <c r="H48" s="20"/>
      <c r="I48" s="21" t="s">
        <v>232</v>
      </c>
      <c r="J48" s="22">
        <f>SUM(J2:J45)</f>
        <v>26.4575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>
      <c r="A49" s="23" t="s">
        <v>233</v>
      </c>
      <c r="B49" s="23">
        <v>1.0</v>
      </c>
      <c r="C49" s="3"/>
      <c r="D49" s="3"/>
      <c r="E49" s="3"/>
      <c r="F49" s="3"/>
      <c r="G49" s="3"/>
      <c r="H49" s="3"/>
      <c r="I49" s="6">
        <v>2.0</v>
      </c>
      <c r="J49" s="7">
        <f t="shared" ref="J49:J50" si="4">B49*I49</f>
        <v>2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>
      <c r="A50" s="23" t="s">
        <v>234</v>
      </c>
      <c r="B50" s="23">
        <v>1.0</v>
      </c>
      <c r="C50" s="3"/>
      <c r="D50" s="3"/>
      <c r="E50" s="3"/>
      <c r="F50" s="3"/>
      <c r="G50" s="3"/>
      <c r="H50" s="3"/>
      <c r="I50" s="6">
        <v>7.0</v>
      </c>
      <c r="J50" s="7">
        <f t="shared" si="4"/>
        <v>7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>
      <c r="A51" s="19"/>
      <c r="B51" s="20"/>
      <c r="C51" s="20"/>
      <c r="D51" s="20"/>
      <c r="E51" s="20"/>
      <c r="F51" s="20"/>
      <c r="G51" s="20"/>
      <c r="H51" s="20"/>
      <c r="I51" s="21" t="s">
        <v>235</v>
      </c>
      <c r="J51" s="22">
        <f>SUM(J49:J50)</f>
        <v>9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>
      <c r="A52" s="24" t="s">
        <v>236</v>
      </c>
      <c r="B52" s="23">
        <v>1.0</v>
      </c>
      <c r="C52" s="3"/>
      <c r="D52" s="3"/>
      <c r="E52" s="3"/>
      <c r="F52" s="23" t="s">
        <v>237</v>
      </c>
      <c r="G52" s="23" t="s">
        <v>238</v>
      </c>
      <c r="H52" s="5" t="str">
        <f t="shared" ref="H52:H53" si="5">"https://www.lcsc.com/product-detail/"&amp;F52&amp;".html"</f>
        <v>https://www.lcsc.com/product-detail/C3040679.html</v>
      </c>
      <c r="I52" s="6">
        <v>0.6084</v>
      </c>
      <c r="J52" s="7">
        <f t="shared" ref="J52:J53" si="6">B52*I52</f>
        <v>0.6084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>
      <c r="A53" s="24" t="s">
        <v>239</v>
      </c>
      <c r="B53" s="23">
        <v>5.0</v>
      </c>
      <c r="C53" s="3"/>
      <c r="D53" s="3"/>
      <c r="E53" s="3"/>
      <c r="F53" s="23" t="s">
        <v>240</v>
      </c>
      <c r="G53" s="23" t="s">
        <v>241</v>
      </c>
      <c r="H53" s="5" t="str">
        <f t="shared" si="5"/>
        <v>https://www.lcsc.com/product-detail/C17283940.html</v>
      </c>
      <c r="I53" s="6">
        <v>0.3633</v>
      </c>
      <c r="J53" s="7">
        <f t="shared" si="6"/>
        <v>1.8165</v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>
      <c r="A54" s="24" t="s">
        <v>242</v>
      </c>
      <c r="B54" s="23">
        <v>4.0</v>
      </c>
      <c r="C54" s="3"/>
      <c r="D54" s="3"/>
      <c r="E54" s="24" t="s">
        <v>243</v>
      </c>
      <c r="F54" s="23"/>
      <c r="G54" s="3"/>
      <c r="H54" s="9"/>
      <c r="I54" s="6"/>
      <c r="J54" s="7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>
      <c r="A55" s="24" t="s">
        <v>244</v>
      </c>
      <c r="B55" s="23">
        <v>4.0</v>
      </c>
      <c r="C55" s="3"/>
      <c r="D55" s="3"/>
      <c r="E55" s="24" t="s">
        <v>245</v>
      </c>
      <c r="F55" s="23"/>
      <c r="G55" s="3"/>
      <c r="H55" s="9"/>
      <c r="I55" s="6"/>
      <c r="J55" s="7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>
      <c r="A56" s="24" t="s">
        <v>246</v>
      </c>
      <c r="B56" s="23">
        <v>2.0</v>
      </c>
      <c r="C56" s="3"/>
      <c r="D56" s="3"/>
      <c r="E56" s="24" t="s">
        <v>247</v>
      </c>
      <c r="F56" s="3"/>
      <c r="G56" s="3"/>
      <c r="H56" s="3"/>
      <c r="I56" s="7"/>
      <c r="J56" s="7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>
      <c r="A57" s="24" t="s">
        <v>248</v>
      </c>
      <c r="B57" s="23">
        <v>2.0</v>
      </c>
      <c r="C57" s="3"/>
      <c r="D57" s="3"/>
      <c r="E57" s="24" t="s">
        <v>249</v>
      </c>
      <c r="F57" s="3"/>
      <c r="G57" s="3"/>
      <c r="H57" s="25" t="s">
        <v>250</v>
      </c>
      <c r="I57" s="6"/>
      <c r="J57" s="7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>
      <c r="A58" s="24" t="s">
        <v>251</v>
      </c>
      <c r="B58" s="23">
        <v>4.0</v>
      </c>
      <c r="C58" s="3"/>
      <c r="D58" s="3"/>
      <c r="E58" s="24"/>
      <c r="F58" s="3"/>
      <c r="G58" s="3"/>
      <c r="H58" s="4"/>
      <c r="I58" s="6"/>
      <c r="J58" s="7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>
      <c r="A59" s="24" t="s">
        <v>252</v>
      </c>
      <c r="B59" s="23">
        <v>1.0</v>
      </c>
      <c r="C59" s="3"/>
      <c r="D59" s="3"/>
      <c r="E59" s="24" t="s">
        <v>253</v>
      </c>
      <c r="F59" s="3"/>
      <c r="G59" s="3"/>
      <c r="H59" s="4"/>
      <c r="I59" s="6"/>
      <c r="J59" s="7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>
      <c r="A60" s="26" t="s">
        <v>254</v>
      </c>
      <c r="B60" s="27">
        <v>2.0</v>
      </c>
      <c r="C60" s="26" t="s">
        <v>255</v>
      </c>
      <c r="D60" s="28"/>
      <c r="E60" s="29"/>
      <c r="F60" s="26" t="s">
        <v>256</v>
      </c>
      <c r="G60" s="26" t="s">
        <v>255</v>
      </c>
      <c r="H60" s="30" t="str">
        <f>"https://www.lcsc.com/product-detail/"&amp;F60&amp;".html"</f>
        <v>https://www.lcsc.com/product-detail/C2733560.html</v>
      </c>
      <c r="I60" s="31">
        <v>0.1032</v>
      </c>
      <c r="J60" s="32">
        <f t="shared" ref="J60:J61" si="7">B60*I60</f>
        <v>0.2064</v>
      </c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>
      <c r="A61" s="24" t="s">
        <v>257</v>
      </c>
      <c r="B61" s="23">
        <v>1.0</v>
      </c>
      <c r="C61" s="3"/>
      <c r="D61" s="3"/>
      <c r="E61" s="3"/>
      <c r="F61" s="3"/>
      <c r="G61" s="3"/>
      <c r="H61" s="3"/>
      <c r="I61" s="6">
        <v>5.0</v>
      </c>
      <c r="J61" s="7">
        <f t="shared" si="7"/>
        <v>5</v>
      </c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>
      <c r="A62" s="19"/>
      <c r="B62" s="20"/>
      <c r="C62" s="20"/>
      <c r="D62" s="20"/>
      <c r="E62" s="20"/>
      <c r="F62" s="20"/>
      <c r="G62" s="20"/>
      <c r="H62" s="20"/>
      <c r="I62" s="21" t="s">
        <v>258</v>
      </c>
      <c r="J62" s="22">
        <f>SUM(J52:J61)</f>
        <v>7.6313</v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>
      <c r="A63" s="23" t="s">
        <v>259</v>
      </c>
      <c r="B63" s="23">
        <v>1.0</v>
      </c>
      <c r="C63" s="3"/>
      <c r="D63" s="3"/>
      <c r="E63" s="3"/>
      <c r="F63" s="3"/>
      <c r="G63" s="3"/>
      <c r="H63" s="25" t="s">
        <v>260</v>
      </c>
      <c r="I63" s="6">
        <v>15.0</v>
      </c>
      <c r="J63" s="7">
        <f t="shared" ref="J63:J64" si="8">B63*I63</f>
        <v>15</v>
      </c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>
      <c r="A64" s="23" t="s">
        <v>261</v>
      </c>
      <c r="B64" s="23">
        <v>1.0</v>
      </c>
      <c r="C64" s="3"/>
      <c r="D64" s="3"/>
      <c r="E64" s="3"/>
      <c r="F64" s="3"/>
      <c r="G64" s="3"/>
      <c r="H64" s="3"/>
      <c r="I64" s="6">
        <v>5.0</v>
      </c>
      <c r="J64" s="7">
        <f t="shared" si="8"/>
        <v>5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>
      <c r="A65" s="19"/>
      <c r="B65" s="20"/>
      <c r="C65" s="20"/>
      <c r="D65" s="20"/>
      <c r="E65" s="20"/>
      <c r="F65" s="20"/>
      <c r="G65" s="20"/>
      <c r="H65" s="20"/>
      <c r="I65" s="21" t="s">
        <v>262</v>
      </c>
      <c r="J65" s="22">
        <f>SUM(J63:J64)</f>
        <v>20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>
      <c r="A66" s="33"/>
      <c r="B66" s="34"/>
      <c r="C66" s="34"/>
      <c r="D66" s="34"/>
      <c r="E66" s="34"/>
      <c r="F66" s="34"/>
      <c r="G66" s="34"/>
      <c r="H66" s="34"/>
      <c r="I66" s="35" t="s">
        <v>263</v>
      </c>
      <c r="J66" s="36">
        <f>SUM(J48,J51,J62,J65)</f>
        <v>63.0888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</row>
  </sheetData>
  <hyperlinks>
    <hyperlink r:id="rId1" ref="H57"/>
    <hyperlink r:id="rId2" ref="H63"/>
  </hyperlink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3"/>
</worksheet>
</file>